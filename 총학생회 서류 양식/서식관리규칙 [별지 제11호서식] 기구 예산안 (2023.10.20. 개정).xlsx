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<sst xmlns="http://schemas.openxmlformats.org/spreadsheetml/2006/main" count="46" uniqueCount="30">
  <si>
    <t>서식관리규칙 [별지 제11호서식] &lt;개정 2023.10.20.&gt;</t>
  </si>
  <si>
    <t>포항공과대학교 총학생회</t>
  </si>
  <si>
    <t>20  학년도 기구 명 N분기 예산안</t>
  </si>
  <si>
    <t>기  구  명</t>
  </si>
  <si>
    <t>분         기</t>
  </si>
  <si>
    <t>기  구  장</t>
  </si>
  <si>
    <t>전 자 우 편</t>
  </si>
  <si>
    <t>수    입</t>
  </si>
  <si>
    <t>재원(장)</t>
  </si>
  <si>
    <t>예산 분류(관)</t>
  </si>
  <si>
    <t>사업명(항)</t>
  </si>
  <si>
    <t>예산액</t>
  </si>
  <si>
    <t>작년도 수입</t>
  </si>
  <si>
    <t>증감률(전년도 수입 대비)</t>
  </si>
  <si>
    <t>산정 근거</t>
  </si>
  <si>
    <t>기타수익금</t>
  </si>
  <si>
    <t>수입 합계</t>
  </si>
  <si>
    <t>지    출</t>
  </si>
  <si>
    <t>작년도 결산</t>
  </si>
  <si>
    <t>증감률(전년도 결산 대비)</t>
  </si>
  <si>
    <t>총학생회비</t>
  </si>
  <si>
    <t>지출 소계</t>
  </si>
  <si>
    <t>지   출   합   계</t>
  </si>
  <si>
    <t>* 사업의 수에 따라 표의 길이를 수정하여 사용할 수 있음</t>
  </si>
  <si>
    <t>* 수입(결산)은 전년도 같은 학기의 수입(결산)을 기준으로 작성</t>
  </si>
  <si>
    <t>교    비    지    출</t>
  </si>
  <si>
    <t>교비지원금</t>
  </si>
  <si>
    <t>행사</t>
  </si>
  <si>
    <t>비품</t>
  </si>
  <si>
    <t>교   비   지   출   합   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</si>
</sst>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_-;_-@"/>
    <numFmt numFmtId="165" formatCode="_(* #,##0_);_(* \(#,##0\);_(* &quot;-&quot;_);_(@_)"/>
    <numFmt numFmtId="166" formatCode="_(&quot;₩&quot;* #,##0_);_(&quot;₩&quot;* \(#,##0\);_(&quot;₩&quot;* &quot;-&quot;_);_(@_)"/>
  </numFmts>
  <fonts count="12">
    <font>
      <sz val="11.0"/>
      <color theme="1"/>
      <name val="Calibri"/>
      <scheme val="minor"/>
    </font>
    <font>
      <sz val="11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20.0"/>
      <color theme="1"/>
      <name val="Malgun Gothic"/>
    </font>
    <font>
      <b/>
      <sz val="10.0"/>
      <color theme="1"/>
      <name val="Malgun Gothic"/>
    </font>
    <font/>
    <font>
      <b/>
      <sz val="11.0"/>
      <color theme="1"/>
      <name val="Malgun Gothic"/>
    </font>
    <font>
      <b/>
      <sz val="14.0"/>
      <color theme="1"/>
      <name val="Malgun Gothic"/>
    </font>
    <font>
      <sz val="10.0"/>
      <color theme="1"/>
      <name val="Malgun Gothic"/>
    </font>
    <font>
      <sz val="8.0"/>
      <color rgb="FFFF0000"/>
      <name val="Malgun Gothic"/>
    </font>
    <font>
      <sz val="9.0"/>
      <color rgb="FFFF0000"/>
      <name val="Batang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45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medium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double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vertical="center"/>
    </xf>
    <xf borderId="3" fillId="0" fontId="7" numFmtId="0" xfId="0" applyAlignment="1" applyBorder="1" applyFont="1">
      <alignment horizontal="center" vertical="center"/>
    </xf>
    <xf borderId="4" fillId="2" fontId="5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vertical="center"/>
    </xf>
    <xf borderId="6" fillId="2" fontId="5" numFmtId="0" xfId="0" applyAlignment="1" applyBorder="1" applyFill="1" applyFont="1">
      <alignment horizontal="center" vertical="center"/>
    </xf>
    <xf borderId="7" fillId="0" fontId="6" numFmtId="0" xfId="0" applyAlignment="1" applyBorder="1" applyFont="1">
      <alignment vertical="center"/>
    </xf>
    <xf borderId="8" fillId="0" fontId="7" numFmtId="0" xfId="0" applyAlignment="1" applyBorder="1" applyFont="1">
      <alignment horizontal="center" vertical="center"/>
    </xf>
    <xf borderId="9" fillId="2" fontId="5" numFmtId="0" xfId="0" applyAlignment="1" applyBorder="1" applyFill="1" applyFont="1">
      <alignment horizontal="center" vertical="center"/>
    </xf>
    <xf borderId="10" fillId="0" fontId="6" numFmtId="0" xfId="0" applyAlignment="1" applyBorder="1" applyFont="1">
      <alignment vertical="center"/>
    </xf>
    <xf borderId="1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2" fontId="8" numFmtId="0" xfId="0" applyAlignment="1" applyBorder="1" applyFill="1" applyFont="1">
      <alignment horizontal="center" vertical="center"/>
    </xf>
    <xf borderId="12" fillId="0" fontId="6" numFmtId="0" xfId="0" applyAlignment="1" applyBorder="1" applyFont="1">
      <alignment vertical="center"/>
    </xf>
    <xf borderId="13" fillId="2" fontId="5" numFmtId="0" xfId="0" applyAlignment="1" applyBorder="1" applyFill="1" applyFont="1">
      <alignment horizontal="center" vertical="center"/>
    </xf>
    <xf borderId="14" fillId="2" fontId="5" numFmtId="0" xfId="0" applyAlignment="1" applyBorder="1" applyFill="1" applyFont="1">
      <alignment horizontal="center" vertical="center"/>
    </xf>
    <xf borderId="15" fillId="2" fontId="5" numFmtId="0" xfId="0" applyAlignment="1" applyBorder="1" applyFill="1" applyFont="1">
      <alignment horizontal="center" vertical="center"/>
    </xf>
    <xf borderId="16" fillId="2" fontId="5" numFmtId="164" xfId="0" applyAlignment="1" applyBorder="1" applyFill="1" applyFont="1" applyNumberFormat="1">
      <alignment horizontal="center" shrinkToFit="0" vertical="center" wrapText="1"/>
    </xf>
    <xf borderId="14" fillId="2" fontId="5" numFmtId="164" xfId="0" applyAlignment="1" applyBorder="1" applyFill="1" applyFont="1" applyNumberFormat="1">
      <alignment horizontal="center" shrinkToFit="0" vertical="center" wrapText="1"/>
    </xf>
    <xf borderId="14" fillId="2" fontId="5" numFmtId="0" xfId="0" applyAlignment="1" applyBorder="1" applyFill="1" applyFont="1">
      <alignment horizontal="center" shrinkToFit="0" vertical="center" wrapText="1"/>
    </xf>
    <xf borderId="17" fillId="2" fontId="5" numFmtId="0" xfId="0" applyAlignment="1" applyBorder="1" applyFill="1" applyFont="1">
      <alignment horizontal="center" vertical="center"/>
    </xf>
    <xf borderId="18" fillId="0" fontId="9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21" fillId="0" fontId="2" numFmtId="165" xfId="0" applyAlignment="1" applyBorder="1" applyFont="1" applyNumberFormat="1">
      <alignment horizontal="center" shrinkToFit="0" vertical="center" wrapText="1"/>
    </xf>
    <xf borderId="19" fillId="0" fontId="2" numFmtId="165" xfId="0" applyAlignment="1" applyBorder="1" applyFont="1" applyNumberFormat="1">
      <alignment horizontal="center" shrinkToFit="0" vertical="center" wrapText="1"/>
    </xf>
    <xf borderId="19" fillId="0" fontId="2" numFmtId="10" xfId="0" applyAlignment="1" applyBorder="1" applyFont="1" applyNumberFormat="1">
      <alignment horizontal="center" shrinkToFit="0" vertical="center" wrapText="1"/>
    </xf>
    <xf borderId="18" fillId="0" fontId="6" numFmtId="0" xfId="0" applyAlignment="1" applyBorder="1" applyFont="1">
      <alignment vertical="center"/>
    </xf>
    <xf borderId="22" fillId="0" fontId="2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center" shrinkToFit="0" vertical="center" wrapText="1"/>
    </xf>
    <xf borderId="22" fillId="0" fontId="2" numFmtId="10" xfId="0" applyAlignment="1" applyBorder="1" applyFont="1" applyNumberFormat="1">
      <alignment horizontal="center" shrinkToFit="0" vertical="center" wrapText="1"/>
    </xf>
    <xf borderId="23" fillId="0" fontId="1" numFmtId="0" xfId="0" applyAlignment="1" applyBorder="1" applyFont="1">
      <alignment vertical="center"/>
    </xf>
    <xf borderId="24" fillId="0" fontId="2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horizontal="center" shrinkToFit="0" vertical="center" wrapText="1"/>
    </xf>
    <xf borderId="24" fillId="0" fontId="2" numFmtId="10" xfId="0" applyAlignment="1" applyBorder="1" applyFont="1" applyNumberFormat="1">
      <alignment horizontal="center" shrinkToFit="0" vertical="center" wrapText="1"/>
    </xf>
    <xf borderId="26" fillId="0" fontId="7" numFmtId="0" xfId="0" applyAlignment="1" applyBorder="1" applyFont="1">
      <alignment horizontal="center" vertical="center"/>
    </xf>
    <xf borderId="27" fillId="0" fontId="6" numFmtId="0" xfId="0" applyAlignment="1" applyBorder="1" applyFont="1">
      <alignment vertical="center"/>
    </xf>
    <xf borderId="28" fillId="0" fontId="6" numFmtId="0" xfId="0" applyAlignment="1" applyBorder="1" applyFont="1">
      <alignment vertical="center"/>
    </xf>
    <xf borderId="27" fillId="0" fontId="7" numFmtId="165" xfId="0" applyAlignment="1" applyBorder="1" applyFont="1" applyNumberFormat="1">
      <alignment horizontal="center" vertical="center"/>
    </xf>
    <xf borderId="11" fillId="0" fontId="7" numFmtId="0" xfId="0" applyAlignment="1" applyBorder="1" applyFont="1">
      <alignment horizontal="center" vertical="center"/>
    </xf>
    <xf borderId="29" fillId="2" fontId="5" numFmtId="0" xfId="0" applyAlignment="1" applyBorder="1" applyFill="1" applyFont="1">
      <alignment horizontal="center" vertical="center"/>
    </xf>
    <xf borderId="30" fillId="0" fontId="2" numFmtId="165" xfId="0" applyAlignment="1" applyBorder="1" applyFont="1" applyNumberFormat="1">
      <alignment horizontal="center" shrinkToFit="0" vertical="center" wrapText="1"/>
    </xf>
    <xf borderId="22" fillId="0" fontId="2" numFmtId="165" xfId="0" applyAlignment="1" applyBorder="1" applyFont="1" applyNumberFormat="1">
      <alignment horizontal="center" shrinkToFit="0" vertical="center" wrapText="1"/>
    </xf>
    <xf borderId="31" fillId="0" fontId="2" numFmtId="165" xfId="0" applyAlignment="1" applyBorder="1" applyFont="1" applyNumberFormat="1">
      <alignment horizontal="center" shrinkToFit="0" vertical="center" wrapText="1"/>
    </xf>
    <xf borderId="24" fillId="0" fontId="2" numFmtId="165" xfId="0" applyAlignment="1" applyBorder="1" applyFont="1" applyNumberFormat="1">
      <alignment horizontal="center" shrinkToFit="0" vertical="center" wrapText="1"/>
    </xf>
    <xf borderId="32" fillId="0" fontId="6" numFmtId="0" xfId="0" applyAlignment="1" applyBorder="1" applyFont="1">
      <alignment vertical="center"/>
    </xf>
    <xf borderId="33" fillId="0" fontId="7" numFmtId="0" xfId="0" applyAlignment="1" applyBorder="1" applyFont="1">
      <alignment horizontal="center" vertical="center"/>
    </xf>
    <xf borderId="27" fillId="0" fontId="1" numFmtId="165" xfId="0" applyAlignment="1" applyBorder="1" applyFont="1" applyNumberFormat="1">
      <alignment horizontal="center" vertical="center"/>
    </xf>
    <xf borderId="21" fillId="0" fontId="2" numFmtId="164" xfId="0" applyAlignment="1" applyBorder="1" applyFont="1" applyNumberFormat="1">
      <alignment horizontal="center" shrinkToFit="0" vertical="center" wrapText="1"/>
    </xf>
    <xf borderId="19" fillId="0" fontId="2" numFmtId="164" xfId="0" applyAlignment="1" applyBorder="1" applyFont="1" applyNumberFormat="1">
      <alignment horizontal="center" shrinkToFit="0" vertical="center" wrapText="1"/>
    </xf>
    <xf borderId="30" fillId="0" fontId="2" numFmtId="164" xfId="0" applyAlignment="1" applyBorder="1" applyFont="1" applyNumberFormat="1">
      <alignment horizontal="center" shrinkToFit="0" vertical="center" wrapText="1"/>
    </xf>
    <xf borderId="22" fillId="0" fontId="2" numFmtId="164" xfId="0" applyAlignment="1" applyBorder="1" applyFont="1" applyNumberFormat="1">
      <alignment horizontal="center" shrinkToFit="0" vertical="center" wrapText="1"/>
    </xf>
    <xf borderId="31" fillId="0" fontId="2" numFmtId="164" xfId="0" applyAlignment="1" applyBorder="1" applyFont="1" applyNumberFormat="1">
      <alignment horizontal="center" shrinkToFit="0" vertical="center" wrapText="1"/>
    </xf>
    <xf borderId="24" fillId="0" fontId="2" numFmtId="164" xfId="0" applyAlignment="1" applyBorder="1" applyFont="1" applyNumberFormat="1">
      <alignment horizontal="center" shrinkToFit="0" vertical="center" wrapText="1"/>
    </xf>
    <xf borderId="34" fillId="0" fontId="8" numFmtId="0" xfId="0" applyAlignment="1" applyBorder="1" applyFont="1">
      <alignment horizontal="center" shrinkToFit="0" vertical="center" wrapText="1"/>
    </xf>
    <xf borderId="35" fillId="0" fontId="6" numFmtId="0" xfId="0" applyAlignment="1" applyBorder="1" applyFont="1">
      <alignment vertical="center"/>
    </xf>
    <xf borderId="36" fillId="0" fontId="6" numFmtId="0" xfId="0" applyAlignment="1" applyBorder="1" applyFont="1">
      <alignment vertical="center"/>
    </xf>
    <xf borderId="35" fillId="0" fontId="8" numFmtId="165" xfId="0" applyAlignment="1" applyBorder="1" applyFont="1" applyNumberFormat="1">
      <alignment horizontal="center" vertical="center"/>
    </xf>
    <xf borderId="0" fillId="0" fontId="10" numFmtId="0" xfId="0" applyAlignment="1" applyFont="1">
      <alignment horizontal="right" vertical="center"/>
    </xf>
    <xf borderId="0" fillId="0" fontId="11" numFmtId="0" xfId="0" applyAlignment="1" applyFont="1">
      <alignment horizontal="right" vertical="center"/>
    </xf>
    <xf borderId="0" fillId="0" fontId="10" numFmtId="0" xfId="0" applyAlignment="1" applyFont="1">
      <alignment vertical="center"/>
    </xf>
    <xf borderId="37" fillId="0" fontId="2" numFmtId="0" xfId="0" applyAlignment="1" applyBorder="1" applyFont="1">
      <alignment horizontal="center" shrinkToFit="0" vertical="center" wrapText="1"/>
    </xf>
    <xf borderId="38" fillId="0" fontId="2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horizontal="center" shrinkToFit="0" vertical="center" wrapText="1"/>
    </xf>
    <xf borderId="40" fillId="0" fontId="6" numFmtId="0" xfId="0" applyAlignment="1" applyBorder="1" applyFont="1">
      <alignment vertical="center"/>
    </xf>
    <xf borderId="41" fillId="0" fontId="2" numFmtId="0" xfId="0" applyAlignment="1" applyBorder="1" applyFont="1">
      <alignment horizontal="center" shrinkToFit="0" vertical="center" wrapText="1"/>
    </xf>
    <xf borderId="42" fillId="0" fontId="2" numFmtId="0" xfId="0" applyAlignment="1" applyBorder="1" applyFont="1">
      <alignment horizontal="center" shrinkToFit="0" vertical="center" wrapText="1"/>
    </xf>
    <xf borderId="40" fillId="0" fontId="2" numFmtId="0" xfId="0" applyAlignment="1" applyBorder="1" applyFont="1">
      <alignment horizontal="center" shrinkToFit="0" vertical="center" wrapText="1"/>
    </xf>
    <xf borderId="19" fillId="0" fontId="2" numFmtId="166" xfId="0" applyAlignment="1" applyBorder="1" applyFont="1" applyNumberFormat="1">
      <alignment shrinkToFit="0" vertical="center" wrapText="1"/>
    </xf>
    <xf borderId="25" fillId="0" fontId="1" numFmtId="0" xfId="0" applyAlignment="1" applyBorder="1" applyFont="1">
      <alignment vertical="center"/>
    </xf>
    <xf borderId="43" fillId="0" fontId="8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vertical="center"/>
    </xf>
    <xf borderId="44" fillId="0" fontId="6" numFmtId="0" xfId="0" applyAlignment="1" applyBorder="1" applyFont="1">
      <alignment vertical="center"/>
    </xf>
    <xf borderId="43" fillId="0" fontId="7" numFmtId="165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9.43"/>
    <col customWidth="1" min="3" max="3" width="15.57"/>
    <col customWidth="1" min="4" max="4" width="20.86"/>
    <col customWidth="1" min="5" max="5" width="20.0"/>
    <col customWidth="1" min="6" max="6" width="18.43"/>
    <col customWidth="1" min="7" max="7" width="15.86"/>
    <col customWidth="1" min="8" max="8" width="21.43"/>
    <col customWidth="1" min="9" max="9" width="9.0"/>
    <col customWidth="1" hidden="1" min="10" max="10" width="8.71"/>
    <col customWidth="1" min="11" max="26" width="8.71"/>
  </cols>
  <sheetData>
    <row r="1" ht="15.75" customHeight="1">
      <c r="A1" s="1"/>
      <c r="B1" s="2" t="s">
        <v>0</v>
      </c>
      <c r="E1" s="3" t="s">
        <v>1</v>
      </c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5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5"/>
      <c r="C4" s="5"/>
      <c r="D4" s="5"/>
      <c r="E4" s="6"/>
      <c r="F4" s="6"/>
      <c r="G4" s="5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" t="s">
        <v>3</v>
      </c>
      <c r="C5" s="8"/>
      <c r="D5" s="9"/>
      <c r="E5" s="8"/>
      <c r="F5" s="10" t="s">
        <v>4</v>
      </c>
      <c r="G5" s="9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2" t="s">
        <v>5</v>
      </c>
      <c r="C6" s="13"/>
      <c r="D6" s="14"/>
      <c r="E6" s="13"/>
      <c r="F6" s="15" t="s">
        <v>6</v>
      </c>
      <c r="G6" s="14"/>
      <c r="H6" s="1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/>
      <c r="B7" s="17"/>
      <c r="C7" s="18"/>
      <c r="D7" s="19"/>
      <c r="E7" s="19"/>
      <c r="F7" s="18"/>
      <c r="G7" s="19"/>
      <c r="H7" s="1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20" t="s">
        <v>7</v>
      </c>
      <c r="C8" s="21"/>
      <c r="D8" s="21"/>
      <c r="E8" s="21"/>
      <c r="F8" s="21"/>
      <c r="G8" s="2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3.0" customHeight="1">
      <c r="A9" s="1"/>
      <c r="B9" s="22" t="s">
        <v>8</v>
      </c>
      <c r="C9" s="23" t="s">
        <v>9</v>
      </c>
      <c r="D9" s="24" t="s">
        <v>10</v>
      </c>
      <c r="E9" s="25" t="s">
        <v>11</v>
      </c>
      <c r="F9" s="26" t="s">
        <v>12</v>
      </c>
      <c r="G9" s="27" t="s">
        <v>13</v>
      </c>
      <c r="H9" s="28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"/>
      <c r="B10" s="29" t="s">
        <v>15</v>
      </c>
      <c r="C10" s="30"/>
      <c r="D10" s="31"/>
      <c r="E10" s="32">
        <v>100.0</v>
      </c>
      <c r="F10" s="33">
        <v>5215.0</v>
      </c>
      <c r="G10" s="34">
        <f t="shared" ref="G10:G13" si="1">IFERROR((E10-F10)/F10,"-")</f>
        <v>-0.9808245446</v>
      </c>
      <c r="H10" s="3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"/>
      <c r="B11" s="35"/>
      <c r="C11" s="36"/>
      <c r="D11" s="37"/>
      <c r="E11" s="32">
        <v>100.0</v>
      </c>
      <c r="F11" s="33">
        <v>5215.0</v>
      </c>
      <c r="G11" s="38">
        <f t="shared" si="1"/>
        <v>-0.9808245446</v>
      </c>
      <c r="H11" s="3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35"/>
      <c r="C12" s="30"/>
      <c r="D12" s="39"/>
      <c r="E12" s="32">
        <v>100.0</v>
      </c>
      <c r="F12" s="33">
        <v>5215.0</v>
      </c>
      <c r="G12" s="38">
        <f t="shared" si="1"/>
        <v>-0.9808245446</v>
      </c>
      <c r="H12" s="3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35"/>
      <c r="C13" s="40"/>
      <c r="D13" s="41"/>
      <c r="E13" s="32">
        <v>100.0</v>
      </c>
      <c r="F13" s="33">
        <v>5215.0</v>
      </c>
      <c r="G13" s="42">
        <f t="shared" si="1"/>
        <v>-0.9808245446</v>
      </c>
      <c r="H13" s="4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43" t="s">
        <v>16</v>
      </c>
      <c r="C14" s="44"/>
      <c r="D14" s="45"/>
      <c r="E14" s="46">
        <f>SUM(E10:E13)</f>
        <v>400</v>
      </c>
      <c r="F14" s="44"/>
      <c r="G14" s="44"/>
      <c r="H14" s="4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47"/>
      <c r="C15" s="19"/>
      <c r="D15" s="19"/>
      <c r="E15" s="19"/>
      <c r="F15" s="19"/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1.5" customHeight="1">
      <c r="A16" s="1"/>
      <c r="B16" s="20" t="s">
        <v>17</v>
      </c>
      <c r="C16" s="21"/>
      <c r="D16" s="21"/>
      <c r="E16" s="21"/>
      <c r="F16" s="21"/>
      <c r="G16" s="21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7.5" customHeight="1">
      <c r="A17" s="1"/>
      <c r="B17" s="48" t="s">
        <v>8</v>
      </c>
      <c r="C17" s="23" t="s">
        <v>9</v>
      </c>
      <c r="D17" s="28" t="s">
        <v>10</v>
      </c>
      <c r="E17" s="25" t="s">
        <v>11</v>
      </c>
      <c r="F17" s="26" t="s">
        <v>18</v>
      </c>
      <c r="G17" s="27" t="s">
        <v>19</v>
      </c>
      <c r="H17" s="28" t="s">
        <v>14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29" t="s">
        <v>20</v>
      </c>
      <c r="C18" s="30"/>
      <c r="D18" s="31"/>
      <c r="E18" s="32">
        <v>100.0</v>
      </c>
      <c r="F18" s="33">
        <v>5215.0</v>
      </c>
      <c r="G18" s="38">
        <f t="shared" ref="G18:G31" si="2">IFERROR((E18-F18)/F18,"-")</f>
        <v>-0.9808245446</v>
      </c>
      <c r="H18" s="3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35"/>
      <c r="C19" s="36"/>
      <c r="D19" s="37"/>
      <c r="E19" s="49"/>
      <c r="F19" s="50"/>
      <c r="G19" s="38" t="str">
        <f t="shared" si="2"/>
        <v>-</v>
      </c>
      <c r="H19" s="3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35"/>
      <c r="C20" s="36"/>
      <c r="D20" s="37"/>
      <c r="E20" s="49"/>
      <c r="F20" s="50"/>
      <c r="G20" s="38" t="str">
        <f t="shared" si="2"/>
        <v>-</v>
      </c>
      <c r="H20" s="3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35"/>
      <c r="C21" s="36"/>
      <c r="D21" s="37"/>
      <c r="E21" s="49"/>
      <c r="F21" s="50"/>
      <c r="G21" s="38" t="str">
        <f t="shared" si="2"/>
        <v>-</v>
      </c>
      <c r="H21" s="3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35"/>
      <c r="C22" s="36"/>
      <c r="D22" s="37"/>
      <c r="E22" s="49"/>
      <c r="F22" s="50"/>
      <c r="G22" s="38" t="str">
        <f t="shared" si="2"/>
        <v>-</v>
      </c>
      <c r="H22" s="3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35"/>
      <c r="C23" s="36"/>
      <c r="D23" s="37"/>
      <c r="E23" s="49"/>
      <c r="F23" s="50"/>
      <c r="G23" s="38" t="str">
        <f t="shared" si="2"/>
        <v>-</v>
      </c>
      <c r="H23" s="3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35"/>
      <c r="C24" s="36"/>
      <c r="D24" s="37"/>
      <c r="E24" s="49"/>
      <c r="F24" s="50"/>
      <c r="G24" s="38" t="str">
        <f t="shared" si="2"/>
        <v>-</v>
      </c>
      <c r="H24" s="3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35"/>
      <c r="C25" s="36"/>
      <c r="D25" s="37"/>
      <c r="E25" s="49"/>
      <c r="F25" s="50"/>
      <c r="G25" s="38" t="str">
        <f t="shared" si="2"/>
        <v>-</v>
      </c>
      <c r="H25" s="3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35"/>
      <c r="C26" s="36"/>
      <c r="D26" s="37"/>
      <c r="E26" s="49"/>
      <c r="F26" s="50"/>
      <c r="G26" s="38" t="str">
        <f t="shared" si="2"/>
        <v>-</v>
      </c>
      <c r="H26" s="3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35"/>
      <c r="C27" s="36"/>
      <c r="D27" s="37"/>
      <c r="E27" s="49"/>
      <c r="F27" s="50"/>
      <c r="G27" s="38" t="str">
        <f t="shared" si="2"/>
        <v>-</v>
      </c>
      <c r="H27" s="3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35"/>
      <c r="C28" s="36"/>
      <c r="D28" s="37"/>
      <c r="E28" s="49">
        <v>1010.0</v>
      </c>
      <c r="F28" s="50"/>
      <c r="G28" s="38" t="str">
        <f t="shared" si="2"/>
        <v>-</v>
      </c>
      <c r="H28" s="3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35"/>
      <c r="C29" s="36"/>
      <c r="D29" s="37"/>
      <c r="E29" s="49"/>
      <c r="F29" s="50"/>
      <c r="G29" s="38" t="str">
        <f t="shared" si="2"/>
        <v>-</v>
      </c>
      <c r="H29" s="3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35"/>
      <c r="C30" s="36"/>
      <c r="D30" s="37"/>
      <c r="E30" s="49"/>
      <c r="F30" s="50"/>
      <c r="G30" s="38" t="str">
        <f t="shared" si="2"/>
        <v>-</v>
      </c>
      <c r="H30" s="3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35"/>
      <c r="C31" s="40"/>
      <c r="D31" s="41"/>
      <c r="E31" s="51"/>
      <c r="F31" s="52"/>
      <c r="G31" s="42" t="str">
        <f t="shared" si="2"/>
        <v>-</v>
      </c>
      <c r="H31" s="4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53"/>
      <c r="C32" s="54" t="s">
        <v>21</v>
      </c>
      <c r="D32" s="45"/>
      <c r="E32" s="55">
        <f>SUM(E18:E31)</f>
        <v>1110</v>
      </c>
      <c r="F32" s="44"/>
      <c r="G32" s="44"/>
      <c r="H32" s="4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29" t="s">
        <v>15</v>
      </c>
      <c r="C33" s="30"/>
      <c r="D33" s="31"/>
      <c r="E33" s="56"/>
      <c r="F33" s="57"/>
      <c r="G33" s="38" t="str">
        <f t="shared" ref="G33:G46" si="3">IFERROR((E33-F33)/F33,"-")</f>
        <v>-</v>
      </c>
      <c r="H33" s="3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35"/>
      <c r="C34" s="36"/>
      <c r="D34" s="37"/>
      <c r="E34" s="58"/>
      <c r="F34" s="59"/>
      <c r="G34" s="38" t="str">
        <f t="shared" si="3"/>
        <v>-</v>
      </c>
      <c r="H34" s="3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35"/>
      <c r="C35" s="36"/>
      <c r="D35" s="37"/>
      <c r="E35" s="58"/>
      <c r="F35" s="59"/>
      <c r="G35" s="38" t="str">
        <f t="shared" si="3"/>
        <v>-</v>
      </c>
      <c r="H35" s="3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35"/>
      <c r="C36" s="36"/>
      <c r="D36" s="37"/>
      <c r="E36" s="58"/>
      <c r="F36" s="59"/>
      <c r="G36" s="38" t="str">
        <f t="shared" si="3"/>
        <v>-</v>
      </c>
      <c r="H36" s="3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35"/>
      <c r="C37" s="36"/>
      <c r="D37" s="37"/>
      <c r="E37" s="58">
        <v>20000.0</v>
      </c>
      <c r="F37" s="59">
        <v>10000.0</v>
      </c>
      <c r="G37" s="38">
        <f t="shared" si="3"/>
        <v>1</v>
      </c>
      <c r="H37" s="3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35"/>
      <c r="C38" s="36"/>
      <c r="D38" s="37"/>
      <c r="E38" s="58"/>
      <c r="F38" s="59"/>
      <c r="G38" s="38" t="str">
        <f t="shared" si="3"/>
        <v>-</v>
      </c>
      <c r="H38" s="3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35"/>
      <c r="C39" s="36"/>
      <c r="D39" s="37"/>
      <c r="E39" s="58"/>
      <c r="F39" s="59"/>
      <c r="G39" s="38" t="str">
        <f t="shared" si="3"/>
        <v>-</v>
      </c>
      <c r="H39" s="3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35"/>
      <c r="C40" s="36"/>
      <c r="D40" s="37"/>
      <c r="E40" s="58"/>
      <c r="F40" s="59"/>
      <c r="G40" s="38" t="str">
        <f t="shared" si="3"/>
        <v>-</v>
      </c>
      <c r="H40" s="3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35"/>
      <c r="C41" s="36"/>
      <c r="D41" s="37"/>
      <c r="E41" s="58"/>
      <c r="F41" s="59"/>
      <c r="G41" s="38" t="str">
        <f t="shared" si="3"/>
        <v>-</v>
      </c>
      <c r="H41" s="3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35"/>
      <c r="C42" s="36"/>
      <c r="D42" s="37"/>
      <c r="E42" s="58"/>
      <c r="F42" s="59"/>
      <c r="G42" s="38" t="str">
        <f t="shared" si="3"/>
        <v>-</v>
      </c>
      <c r="H42" s="3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35"/>
      <c r="C43" s="36"/>
      <c r="D43" s="37"/>
      <c r="E43" s="58"/>
      <c r="F43" s="59"/>
      <c r="G43" s="38" t="str">
        <f t="shared" si="3"/>
        <v>-</v>
      </c>
      <c r="H43" s="3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35"/>
      <c r="C44" s="40"/>
      <c r="D44" s="41"/>
      <c r="E44" s="60"/>
      <c r="F44" s="61"/>
      <c r="G44" s="38" t="str">
        <f t="shared" si="3"/>
        <v>-</v>
      </c>
      <c r="H44" s="4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35"/>
      <c r="C45" s="40"/>
      <c r="D45" s="41"/>
      <c r="E45" s="60"/>
      <c r="F45" s="61"/>
      <c r="G45" s="38" t="str">
        <f t="shared" si="3"/>
        <v>-</v>
      </c>
      <c r="H45" s="4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35"/>
      <c r="C46" s="40"/>
      <c r="D46" s="41"/>
      <c r="E46" s="60"/>
      <c r="F46" s="61"/>
      <c r="G46" s="42" t="str">
        <f t="shared" si="3"/>
        <v>-</v>
      </c>
      <c r="H46" s="4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53"/>
      <c r="C47" s="54" t="s">
        <v>21</v>
      </c>
      <c r="D47" s="45"/>
      <c r="E47" s="55">
        <f>SUM(E33:E46)</f>
        <v>20000</v>
      </c>
      <c r="F47" s="44"/>
      <c r="G47" s="44"/>
      <c r="H47" s="4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62" t="s">
        <v>22</v>
      </c>
      <c r="C48" s="63"/>
      <c r="D48" s="64"/>
      <c r="E48" s="65">
        <f>SUM(E32,E47)</f>
        <v>21110</v>
      </c>
      <c r="F48" s="63"/>
      <c r="G48" s="63"/>
      <c r="H48" s="6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66" t="s">
        <v>23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66" t="s">
        <v>24</v>
      </c>
      <c r="I50" s="1"/>
      <c r="J50" s="6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68"/>
      <c r="F51" s="68"/>
      <c r="G51" s="68"/>
      <c r="H51" s="6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4"/>
      <c r="C52" s="4"/>
      <c r="D52" s="4"/>
      <c r="E52" s="68"/>
      <c r="F52" s="68"/>
      <c r="G52" s="68"/>
      <c r="H52" s="6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20" t="s">
        <v>25</v>
      </c>
      <c r="C53" s="21"/>
      <c r="D53" s="21"/>
      <c r="E53" s="21"/>
      <c r="F53" s="21"/>
      <c r="G53" s="21"/>
      <c r="H53" s="1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22" t="s">
        <v>8</v>
      </c>
      <c r="C54" s="23" t="s">
        <v>9</v>
      </c>
      <c r="D54" s="24" t="s">
        <v>10</v>
      </c>
      <c r="E54" s="25" t="s">
        <v>11</v>
      </c>
      <c r="F54" s="26" t="s">
        <v>18</v>
      </c>
      <c r="G54" s="27" t="s">
        <v>19</v>
      </c>
      <c r="H54" s="28" t="s">
        <v>14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29" t="s">
        <v>26</v>
      </c>
      <c r="C55" s="69" t="s">
        <v>27</v>
      </c>
      <c r="D55" s="70"/>
      <c r="E55" s="32">
        <v>1000.0</v>
      </c>
      <c r="F55" s="59">
        <v>584.0</v>
      </c>
      <c r="G55" s="38">
        <f t="shared" ref="G55:G60" si="4">IFERROR((E55-F55)/F55,"-")</f>
        <v>0.7123287671</v>
      </c>
      <c r="H55" s="7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35"/>
      <c r="C56" s="72"/>
      <c r="D56" s="31"/>
      <c r="E56" s="49">
        <v>1000.0</v>
      </c>
      <c r="F56" s="59">
        <v>100.0</v>
      </c>
      <c r="G56" s="38">
        <f t="shared" si="4"/>
        <v>9</v>
      </c>
      <c r="H56" s="7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35"/>
      <c r="C57" s="72"/>
      <c r="D57" s="31"/>
      <c r="E57" s="49"/>
      <c r="F57" s="59"/>
      <c r="G57" s="38" t="str">
        <f t="shared" si="4"/>
        <v>-</v>
      </c>
      <c r="H57" s="7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35"/>
      <c r="C58" s="72"/>
      <c r="D58" s="31"/>
      <c r="E58" s="49"/>
      <c r="F58" s="59"/>
      <c r="G58" s="38" t="str">
        <f t="shared" si="4"/>
        <v>-</v>
      </c>
      <c r="H58" s="7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35"/>
      <c r="C59" s="72"/>
      <c r="D59" s="31"/>
      <c r="E59" s="49"/>
      <c r="F59" s="59"/>
      <c r="G59" s="38" t="str">
        <f t="shared" si="4"/>
        <v>-</v>
      </c>
      <c r="H59" s="7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35"/>
      <c r="C60" s="72"/>
      <c r="D60" s="73"/>
      <c r="E60" s="49"/>
      <c r="F60" s="59"/>
      <c r="G60" s="38" t="str">
        <f t="shared" si="4"/>
        <v>-</v>
      </c>
      <c r="H60" s="7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35"/>
      <c r="C61" s="54" t="s">
        <v>21</v>
      </c>
      <c r="D61" s="45"/>
      <c r="E61" s="55">
        <f>SUM(E55:E60)</f>
        <v>2000</v>
      </c>
      <c r="F61" s="44"/>
      <c r="G61" s="44"/>
      <c r="H61" s="4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35"/>
      <c r="C62" s="75" t="s">
        <v>28</v>
      </c>
      <c r="D62" s="31"/>
      <c r="E62" s="32"/>
      <c r="F62" s="76"/>
      <c r="G62" s="38" t="str">
        <f t="shared" ref="G62:G67" si="5">IFERROR((E62-F62)/F62,"-")</f>
        <v>-</v>
      </c>
      <c r="H62" s="7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35"/>
      <c r="C63" s="72"/>
      <c r="D63" s="37"/>
      <c r="E63" s="49"/>
      <c r="F63" s="76"/>
      <c r="G63" s="38" t="str">
        <f t="shared" si="5"/>
        <v>-</v>
      </c>
      <c r="H63" s="7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35"/>
      <c r="C64" s="72"/>
      <c r="D64" s="37"/>
      <c r="E64" s="49">
        <v>2144.0</v>
      </c>
      <c r="F64" s="59">
        <v>1050125.0</v>
      </c>
      <c r="G64" s="38">
        <f t="shared" si="5"/>
        <v>-0.9979583383</v>
      </c>
      <c r="H64" s="7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35"/>
      <c r="C65" s="72"/>
      <c r="D65" s="37"/>
      <c r="E65" s="49"/>
      <c r="F65" s="76"/>
      <c r="G65" s="38" t="str">
        <f t="shared" si="5"/>
        <v>-</v>
      </c>
      <c r="H65" s="7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35"/>
      <c r="C66" s="72"/>
      <c r="D66" s="37"/>
      <c r="E66" s="49"/>
      <c r="F66" s="76"/>
      <c r="G66" s="38" t="str">
        <f t="shared" si="5"/>
        <v>-</v>
      </c>
      <c r="H66" s="7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35"/>
      <c r="C67" s="72"/>
      <c r="D67" s="77"/>
      <c r="E67" s="49"/>
      <c r="F67" s="76"/>
      <c r="G67" s="38" t="str">
        <f t="shared" si="5"/>
        <v>-</v>
      </c>
      <c r="H67" s="7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35"/>
      <c r="C68" s="54" t="s">
        <v>21</v>
      </c>
      <c r="D68" s="45"/>
      <c r="E68" s="55">
        <f>SUM(E62:E67)</f>
        <v>2144</v>
      </c>
      <c r="F68" s="44"/>
      <c r="G68" s="44"/>
      <c r="H68" s="4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78" t="s">
        <v>29</v>
      </c>
      <c r="C69" s="79"/>
      <c r="D69" s="80"/>
      <c r="E69" s="81">
        <f>SUM(E61,E68)</f>
        <v>4144</v>
      </c>
      <c r="F69" s="79"/>
      <c r="G69" s="79"/>
      <c r="H69" s="8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82"/>
      <c r="F70" s="8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82"/>
      <c r="F71" s="8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82"/>
      <c r="F72" s="8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82"/>
      <c r="F73" s="8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82"/>
      <c r="F74" s="8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82"/>
      <c r="F75" s="8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82"/>
      <c r="F76" s="8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82"/>
      <c r="F77" s="8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82"/>
      <c r="F78" s="8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82"/>
      <c r="F79" s="8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82"/>
      <c r="F80" s="8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82"/>
      <c r="F81" s="8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82"/>
      <c r="F82" s="8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82"/>
      <c r="F83" s="8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82"/>
      <c r="F84" s="8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82"/>
      <c r="F85" s="8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82"/>
      <c r="F86" s="8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82"/>
      <c r="F87" s="8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82"/>
      <c r="F88" s="8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82"/>
      <c r="F89" s="8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82"/>
      <c r="F90" s="8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82"/>
      <c r="F91" s="8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82"/>
      <c r="F92" s="8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82"/>
      <c r="F93" s="8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82"/>
      <c r="F94" s="8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82"/>
      <c r="F95" s="8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82"/>
      <c r="F96" s="8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82"/>
      <c r="F97" s="8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82"/>
      <c r="F98" s="8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82"/>
      <c r="F99" s="8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82"/>
      <c r="F100" s="8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82"/>
      <c r="F101" s="8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82"/>
      <c r="F102" s="8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82"/>
      <c r="F103" s="8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82"/>
      <c r="F104" s="8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82"/>
      <c r="F105" s="8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82"/>
      <c r="F106" s="8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82"/>
      <c r="F107" s="8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82"/>
      <c r="F108" s="8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82"/>
      <c r="F109" s="8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82"/>
      <c r="F110" s="8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82"/>
      <c r="F111" s="8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82"/>
      <c r="F112" s="8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82"/>
      <c r="F113" s="8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82"/>
      <c r="F114" s="8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82"/>
      <c r="F115" s="8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82"/>
      <c r="F116" s="8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82"/>
      <c r="F117" s="8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82"/>
      <c r="F118" s="8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82"/>
      <c r="F119" s="8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82"/>
      <c r="F120" s="8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82"/>
      <c r="F121" s="8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82"/>
      <c r="F122" s="8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82"/>
      <c r="F123" s="8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82"/>
      <c r="F124" s="8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82"/>
      <c r="F125" s="8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82"/>
      <c r="F126" s="8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82"/>
      <c r="F127" s="8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82"/>
      <c r="F128" s="8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82"/>
      <c r="F129" s="8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82"/>
      <c r="F130" s="8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82"/>
      <c r="F131" s="8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82"/>
      <c r="F132" s="8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82"/>
      <c r="F133" s="8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82"/>
      <c r="F134" s="8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82"/>
      <c r="F135" s="8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82"/>
      <c r="F136" s="8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82"/>
      <c r="F137" s="8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82"/>
      <c r="F138" s="8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82"/>
      <c r="F139" s="8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82"/>
      <c r="F140" s="8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82"/>
      <c r="F141" s="8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82"/>
      <c r="F142" s="8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82"/>
      <c r="F143" s="8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82"/>
      <c r="F144" s="8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82"/>
      <c r="F145" s="8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82"/>
      <c r="F146" s="8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82"/>
      <c r="F147" s="8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82"/>
      <c r="F148" s="8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82"/>
      <c r="F149" s="8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82"/>
      <c r="F150" s="8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82"/>
      <c r="F151" s="8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82"/>
      <c r="F152" s="8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82"/>
      <c r="F153" s="8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82"/>
      <c r="F154" s="8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82"/>
      <c r="F155" s="8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82"/>
      <c r="F156" s="8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82"/>
      <c r="F157" s="8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82"/>
      <c r="F158" s="8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82"/>
      <c r="F159" s="8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82"/>
      <c r="F160" s="8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82"/>
      <c r="F161" s="8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82"/>
      <c r="F162" s="8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82"/>
      <c r="F163" s="8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82"/>
      <c r="F164" s="8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82"/>
      <c r="F165" s="8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82"/>
      <c r="F166" s="8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82"/>
      <c r="F167" s="8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82"/>
      <c r="F168" s="8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82"/>
      <c r="F169" s="8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82"/>
      <c r="F170" s="8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82"/>
      <c r="F171" s="8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82"/>
      <c r="F172" s="8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82"/>
      <c r="F173" s="8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82"/>
      <c r="F174" s="8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82"/>
      <c r="F175" s="8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82"/>
      <c r="F176" s="8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82"/>
      <c r="F177" s="8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82"/>
      <c r="F178" s="8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82"/>
      <c r="F179" s="8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82"/>
      <c r="F180" s="8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82"/>
      <c r="F181" s="8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82"/>
      <c r="F182" s="8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82"/>
      <c r="F183" s="8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82"/>
      <c r="F184" s="8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82"/>
      <c r="F185" s="8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82"/>
      <c r="F186" s="8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82"/>
      <c r="F187" s="8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82"/>
      <c r="F188" s="8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82"/>
      <c r="F189" s="8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82"/>
      <c r="F190" s="8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82"/>
      <c r="F191" s="8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82"/>
      <c r="F192" s="8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82"/>
      <c r="F193" s="8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82"/>
      <c r="F194" s="8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82"/>
      <c r="F195" s="8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82"/>
      <c r="F196" s="8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82"/>
      <c r="F197" s="8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82"/>
      <c r="F198" s="8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82"/>
      <c r="F199" s="8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82"/>
      <c r="F200" s="8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82"/>
      <c r="F201" s="8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82"/>
      <c r="F202" s="8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82"/>
      <c r="F203" s="8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82"/>
      <c r="F204" s="8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82"/>
      <c r="F205" s="8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82"/>
      <c r="F206" s="8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82"/>
      <c r="F207" s="8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82"/>
      <c r="F208" s="8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82"/>
      <c r="F209" s="8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82"/>
      <c r="F210" s="8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82"/>
      <c r="F211" s="8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82"/>
      <c r="F212" s="8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82"/>
      <c r="F213" s="8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82"/>
      <c r="F214" s="8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82"/>
      <c r="F215" s="8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82"/>
      <c r="F216" s="8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82"/>
      <c r="F217" s="8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82"/>
      <c r="F218" s="8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82"/>
      <c r="F219" s="8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82"/>
      <c r="F220" s="8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82"/>
      <c r="F221" s="8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82"/>
      <c r="F222" s="8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82"/>
      <c r="F223" s="8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82"/>
      <c r="F224" s="8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82"/>
      <c r="F225" s="8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82"/>
      <c r="F226" s="8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82"/>
      <c r="F227" s="8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82"/>
      <c r="F228" s="8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82"/>
      <c r="F229" s="8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82"/>
      <c r="F230" s="8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82"/>
      <c r="F231" s="8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82"/>
      <c r="F232" s="8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82"/>
      <c r="F233" s="8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82"/>
      <c r="F234" s="8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82"/>
      <c r="F235" s="8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82"/>
      <c r="F236" s="8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82"/>
      <c r="F237" s="8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82"/>
      <c r="F238" s="8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82"/>
      <c r="F239" s="8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82"/>
      <c r="F240" s="8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82"/>
      <c r="F241" s="8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82"/>
      <c r="F242" s="8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82"/>
      <c r="F243" s="8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82"/>
      <c r="F244" s="8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82"/>
      <c r="F245" s="8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82"/>
      <c r="F246" s="8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82"/>
      <c r="F247" s="8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82"/>
      <c r="F248" s="8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82"/>
      <c r="F249" s="8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82"/>
      <c r="F250" s="8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82"/>
      <c r="F251" s="8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82"/>
      <c r="F252" s="8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82"/>
      <c r="F253" s="8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82"/>
      <c r="F254" s="8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82"/>
      <c r="F255" s="8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82"/>
      <c r="F256" s="8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82"/>
      <c r="F257" s="8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82"/>
      <c r="F258" s="8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82"/>
      <c r="F259" s="8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82"/>
      <c r="F260" s="8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82"/>
      <c r="F261" s="8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82"/>
      <c r="F262" s="8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82"/>
      <c r="F263" s="8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82"/>
      <c r="F264" s="8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82"/>
      <c r="F265" s="8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82"/>
      <c r="F266" s="8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82"/>
      <c r="F267" s="8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82"/>
      <c r="F268" s="8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82"/>
      <c r="F269" s="8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G5:H5"/>
    <mergeCell ref="G6:H6"/>
    <mergeCell ref="B1:D1"/>
    <mergeCell ref="E1:H1"/>
    <mergeCell ref="B2:H3"/>
    <mergeCell ref="B5:C5"/>
    <mergeCell ref="D5:E5"/>
    <mergeCell ref="D6:E6"/>
    <mergeCell ref="B8:H8"/>
    <mergeCell ref="E47:H47"/>
    <mergeCell ref="E48:H48"/>
    <mergeCell ref="E49:H49"/>
    <mergeCell ref="E50:H50"/>
    <mergeCell ref="B53:H53"/>
    <mergeCell ref="E61:H61"/>
    <mergeCell ref="B6:C6"/>
    <mergeCell ref="B10:B13"/>
    <mergeCell ref="B14:D14"/>
    <mergeCell ref="E14:H14"/>
    <mergeCell ref="B16:H16"/>
    <mergeCell ref="C32:D32"/>
    <mergeCell ref="E32:H32"/>
    <mergeCell ref="C62:C67"/>
    <mergeCell ref="C68:D68"/>
    <mergeCell ref="E68:H68"/>
    <mergeCell ref="E69:H69"/>
    <mergeCell ref="B18:B32"/>
    <mergeCell ref="B33:B47"/>
    <mergeCell ref="C47:D47"/>
    <mergeCell ref="B48:D48"/>
    <mergeCell ref="B55:B68"/>
    <mergeCell ref="C55:C60"/>
    <mergeCell ref="C61:D61"/>
    <mergeCell ref="B69:D69"/>
  </mergeCells>
  <printOptions/>
  <pageMargins bottom="0.75" footer="0.0" header="0.0" left="0.25" right="0.25" top="0.75"/>
  <pageSetup paperSize="9" orientation="portrait"/>
  <drawing r:id="rId1"/>
</worksheet>
</file>