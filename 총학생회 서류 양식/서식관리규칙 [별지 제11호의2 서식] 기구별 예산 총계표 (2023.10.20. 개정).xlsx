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<sst xmlns="http://schemas.openxmlformats.org/spreadsheetml/2006/main" count="131" uniqueCount="53">
  <si>
    <t>서식관리규칙 [별지 제11호2 서식] &lt;제정 2023.10.13.&gt;</t>
  </si>
  <si>
    <t>포항공과대학교 총학생회</t>
  </si>
  <si>
    <t>20  학년도 총학생회 N분기 예산안</t>
  </si>
  <si>
    <t>기  구  명</t>
  </si>
  <si>
    <t>총학생회</t>
  </si>
  <si>
    <t>분         기</t>
  </si>
  <si>
    <t>기  구  장</t>
  </si>
  <si>
    <t>전 자 우 편</t>
  </si>
  <si>
    <t>수    입</t>
  </si>
  <si>
    <t>재원</t>
  </si>
  <si>
    <t>단체명</t>
  </si>
  <si>
    <t>특별 분류</t>
  </si>
  <si>
    <t>예산액</t>
  </si>
  <si>
    <t>작년도 수입</t>
  </si>
  <si>
    <t>증감률(전년도 수입 대비)</t>
  </si>
  <si>
    <t>총학생회비</t>
  </si>
  <si>
    <t>이월금</t>
  </si>
  <si>
    <t>금융이자</t>
  </si>
  <si>
    <t>수입 소계</t>
  </si>
  <si>
    <t>기타수익금</t>
  </si>
  <si>
    <t>중앙집행위원회</t>
  </si>
  <si>
    <t>동아리연합회</t>
  </si>
  <si>
    <t>총여학생회</t>
  </si>
  <si>
    <t>생활관자치회</t>
  </si>
  <si>
    <t>무은재 학생회</t>
  </si>
  <si>
    <t>행사지원위원회</t>
  </si>
  <si>
    <t>준비위원회</t>
  </si>
  <si>
    <t>기타</t>
  </si>
  <si>
    <t>학생교육위원회</t>
  </si>
  <si>
    <t>도서관자치위원회</t>
  </si>
  <si>
    <t>학생·소수자인권위원회</t>
  </si>
  <si>
    <t>방송국</t>
  </si>
  <si>
    <t>학과학생대표자협의회</t>
  </si>
  <si>
    <t>특별기구</t>
  </si>
  <si>
    <t>특별기구1</t>
  </si>
  <si>
    <t>특별기구2</t>
  </si>
  <si>
    <t xml:space="preserve"> </t>
  </si>
  <si>
    <t>총  수  입</t>
  </si>
  <si>
    <t>지    출</t>
  </si>
  <si>
    <t>작년도 지출</t>
  </si>
  <si>
    <t>증감률(전년도 결산 대비)</t>
  </si>
  <si>
    <t>지출 소계</t>
  </si>
  <si>
    <t>총  지  출</t>
  </si>
  <si>
    <t>예상 이월금</t>
  </si>
  <si>
    <t>교    비    이    월    금</t>
  </si>
  <si>
    <t>행사지원비 이월금</t>
  </si>
  <si>
    <t>비품지원비 이월금</t>
  </si>
  <si>
    <t>교    비    지    출</t>
  </si>
  <si>
    <t>예산 분류</t>
  </si>
  <si>
    <t>교비지원금</t>
  </si>
  <si>
    <t>행사</t>
  </si>
  <si>
    <t>비품</t>
  </si>
  <si>
    <t>교비 잔액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</si>
</sst>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2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20.0"/>
      <color theme="1"/>
      <name val="Malgun Gothic"/>
    </font>
    <font>
      <b/>
      <sz val="10.0"/>
      <color theme="1"/>
      <name val="Malgun Gothic"/>
    </font>
    <font/>
    <font>
      <b/>
      <sz val="11.0"/>
      <color theme="1"/>
      <name val="Malgun Gothic"/>
    </font>
    <font>
      <b/>
      <sz val="14.0"/>
      <color theme="1"/>
      <name val="Malgun Gothic"/>
    </font>
    <font>
      <sz val="10.0"/>
      <color theme="1"/>
      <name val="Malgun Gothic"/>
    </font>
    <font>
      <sz val="8.0"/>
      <color rgb="FFFF0000"/>
      <name val="Malgun Gothic"/>
    </font>
    <font>
      <sz val="9.0"/>
      <color rgb="FFFF0000"/>
      <name val="Batang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vertical="center"/>
    </xf>
    <xf borderId="3" fillId="0" fontId="7" numFmtId="0" xfId="0" applyAlignment="1" applyBorder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6" numFmtId="0" xfId="0" applyAlignment="1" applyBorder="1" applyFont="1">
      <alignment vertical="center"/>
    </xf>
    <xf borderId="1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2" fillId="0" fontId="1" numFmtId="0" xfId="0" applyAlignment="1" applyBorder="1" applyFont="1">
      <alignment vertical="center"/>
    </xf>
    <xf borderId="1" fillId="2" fontId="8" numFmtId="0" xfId="0" applyAlignment="1" applyBorder="1" applyFill="1" applyFont="1">
      <alignment horizontal="center" vertical="center"/>
    </xf>
    <xf borderId="13" fillId="0" fontId="6" numFmtId="0" xfId="0" applyAlignment="1" applyBorder="1" applyFont="1">
      <alignment vertical="center"/>
    </xf>
    <xf borderId="14" fillId="2" fontId="5" numFmtId="0" xfId="0" applyAlignment="1" applyBorder="1" applyFill="1" applyFont="1">
      <alignment horizontal="center" vertical="center"/>
    </xf>
    <xf borderId="15" fillId="2" fontId="5" numFmtId="0" xfId="0" applyAlignment="1" applyBorder="1" applyFill="1" applyFont="1">
      <alignment horizontal="center" vertical="center"/>
    </xf>
    <xf borderId="16" fillId="2" fontId="5" numFmtId="0" xfId="0" applyAlignment="1" applyBorder="1" applyFill="1" applyFont="1">
      <alignment horizontal="center" vertical="center"/>
    </xf>
    <xf borderId="17" fillId="2" fontId="5" numFmtId="164" xfId="0" applyAlignment="1" applyBorder="1" applyFill="1" applyFont="1" applyNumberFormat="1">
      <alignment horizontal="center" shrinkToFit="0" vertical="center" wrapText="1"/>
    </xf>
    <xf borderId="18" fillId="2" fontId="5" numFmtId="164" xfId="0" applyAlignment="1" applyBorder="1" applyFill="1" applyFont="1" applyNumberFormat="1">
      <alignment horizontal="center" shrinkToFit="0" vertical="center" wrapText="1"/>
    </xf>
    <xf borderId="19" fillId="2" fontId="5" numFmtId="0" xfId="0" applyAlignment="1" applyBorder="1" applyFill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vertical="center"/>
    </xf>
    <xf borderId="23" fillId="0" fontId="2" numFmtId="164" xfId="0" applyAlignment="1" applyBorder="1" applyFont="1" applyNumberFormat="1">
      <alignment shrinkToFit="0" vertical="center" wrapText="1"/>
    </xf>
    <xf borderId="24" fillId="0" fontId="2" numFmtId="164" xfId="0" applyAlignment="1" applyBorder="1" applyFont="1" applyNumberFormat="1">
      <alignment shrinkToFit="0" vertical="center" wrapText="1"/>
    </xf>
    <xf borderId="25" fillId="0" fontId="2" numFmtId="10" xfId="0" applyAlignment="1" applyBorder="1" applyFont="1" applyNumberFormat="1">
      <alignment horizontal="center" shrinkToFit="0" vertical="center" wrapText="1"/>
    </xf>
    <xf borderId="26" fillId="0" fontId="6" numFmtId="0" xfId="0" applyAlignment="1" applyBorder="1" applyFont="1">
      <alignment vertical="center"/>
    </xf>
    <xf borderId="27" fillId="0" fontId="2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vertical="center"/>
    </xf>
    <xf borderId="29" fillId="0" fontId="2" numFmtId="164" xfId="0" applyAlignment="1" applyBorder="1" applyFont="1" applyNumberFormat="1">
      <alignment shrinkToFit="0" vertical="center" wrapText="1"/>
    </xf>
    <xf borderId="30" fillId="0" fontId="2" numFmtId="164" xfId="0" applyAlignment="1" applyBorder="1" applyFont="1" applyNumberFormat="1">
      <alignment shrinkToFit="0" vertical="center" wrapText="1"/>
    </xf>
    <xf borderId="31" fillId="0" fontId="2" numFmtId="10" xfId="0" applyAlignment="1" applyBorder="1" applyFont="1" applyNumberFormat="1">
      <alignment horizontal="center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14" fillId="0" fontId="2" numFmtId="164" xfId="0" applyAlignment="1" applyBorder="1" applyFont="1" applyNumberFormat="1">
      <alignment horizontal="center" shrinkToFit="0" vertical="center" wrapText="1"/>
    </xf>
    <xf borderId="34" fillId="0" fontId="2" numFmtId="164" xfId="0" applyAlignment="1" applyBorder="1" applyFont="1" applyNumberFormat="1">
      <alignment horizontal="center" shrinkToFit="0" vertical="center" wrapText="1"/>
    </xf>
    <xf borderId="35" fillId="0" fontId="2" numFmtId="10" xfId="0" applyAlignment="1" applyBorder="1" applyFont="1" applyNumberForma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37" fillId="0" fontId="2" numFmtId="164" xfId="0" applyAlignment="1" applyBorder="1" applyFont="1" applyNumberForma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horizontal="center" shrinkToFit="0" vertical="center" wrapText="1"/>
    </xf>
    <xf borderId="42" fillId="0" fontId="2" numFmtId="164" xfId="0" applyAlignment="1" applyBorder="1" applyFont="1" applyNumberFormat="1">
      <alignment shrinkToFit="0" vertical="center" wrapText="1"/>
    </xf>
    <xf borderId="43" fillId="0" fontId="2" numFmtId="164" xfId="0" applyAlignment="1" applyBorder="1" applyFont="1" applyNumberFormat="1">
      <alignment shrinkToFit="0" vertical="center" wrapText="1"/>
    </xf>
    <xf borderId="44" fillId="0" fontId="2" numFmtId="10" xfId="0" applyAlignment="1" applyBorder="1" applyFont="1" applyNumberFormat="1">
      <alignment horizontal="center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45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vertical="center"/>
    </xf>
    <xf borderId="31" fillId="0" fontId="2" numFmtId="0" xfId="0" applyAlignment="1" applyBorder="1" applyFont="1">
      <alignment horizontal="center" vertical="center"/>
    </xf>
    <xf borderId="47" fillId="0" fontId="6" numFmtId="0" xfId="0" applyAlignment="1" applyBorder="1" applyFont="1">
      <alignment vertical="center"/>
    </xf>
    <xf borderId="35" fillId="0" fontId="2" numFmtId="0" xfId="0" applyAlignment="1" applyBorder="1" applyFont="1">
      <alignment horizontal="center" shrinkToFit="0" vertical="center" wrapText="1"/>
    </xf>
    <xf borderId="48" fillId="0" fontId="2" numFmtId="164" xfId="0" applyAlignment="1" applyBorder="1" applyFont="1" applyNumberFormat="1">
      <alignment shrinkToFit="0" vertical="center" wrapText="1"/>
    </xf>
    <xf borderId="34" fillId="0" fontId="2" numFmtId="164" xfId="0" applyAlignment="1" applyBorder="1" applyFont="1" applyNumberFormat="1">
      <alignment shrinkToFit="0" vertical="center" wrapText="1"/>
    </xf>
    <xf borderId="33" fillId="0" fontId="2" numFmtId="10" xfId="0" applyAlignment="1" applyBorder="1" applyFont="1" applyNumberFormat="1">
      <alignment horizontal="center" shrinkToFit="0" vertical="center" wrapText="1"/>
    </xf>
    <xf borderId="49" fillId="0" fontId="7" numFmtId="0" xfId="0" applyAlignment="1" applyBorder="1" applyFont="1">
      <alignment horizontal="center" vertical="center"/>
    </xf>
    <xf borderId="50" fillId="0" fontId="6" numFmtId="0" xfId="0" applyAlignment="1" applyBorder="1" applyFont="1">
      <alignment vertical="center"/>
    </xf>
    <xf borderId="51" fillId="0" fontId="1" numFmtId="164" xfId="0" applyAlignment="1" applyBorder="1" applyFont="1" applyNumberFormat="1">
      <alignment horizontal="center" vertical="center"/>
    </xf>
    <xf borderId="49" fillId="0" fontId="6" numFmtId="0" xfId="0" applyAlignment="1" applyBorder="1" applyFont="1">
      <alignment vertical="center"/>
    </xf>
    <xf borderId="52" fillId="0" fontId="8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vertical="center"/>
    </xf>
    <xf borderId="52" fillId="0" fontId="8" numFmtId="164" xfId="0" applyAlignment="1" applyBorder="1" applyFont="1" applyNumberFormat="1">
      <alignment horizontal="center" vertical="center"/>
    </xf>
    <xf borderId="53" fillId="0" fontId="6" numFmtId="0" xfId="0" applyAlignment="1" applyBorder="1" applyFont="1">
      <alignment vertical="center"/>
    </xf>
    <xf borderId="38" fillId="0" fontId="7" numFmtId="0" xfId="0" applyAlignment="1" applyBorder="1" applyFont="1">
      <alignment horizontal="center" vertical="center"/>
    </xf>
    <xf borderId="54" fillId="0" fontId="1" numFmtId="0" xfId="0" applyAlignment="1" applyBorder="1" applyFont="1">
      <alignment vertical="center"/>
    </xf>
    <xf borderId="34" fillId="2" fontId="5" numFmtId="0" xfId="0" applyAlignment="1" applyBorder="1" applyFill="1" applyFont="1">
      <alignment horizontal="center" vertical="center"/>
    </xf>
    <xf borderId="35" fillId="2" fontId="5" numFmtId="0" xfId="0" applyAlignment="1" applyBorder="1" applyFill="1" applyFont="1">
      <alignment horizontal="center" vertical="center"/>
    </xf>
    <xf borderId="55" fillId="2" fontId="5" numFmtId="164" xfId="0" applyAlignment="1" applyBorder="1" applyFill="1" applyFont="1" applyNumberFormat="1">
      <alignment horizontal="center" shrinkToFit="0" vertical="center" wrapText="1"/>
    </xf>
    <xf borderId="34" fillId="2" fontId="5" numFmtId="164" xfId="0" applyAlignment="1" applyBorder="1" applyFill="1" applyFont="1" applyNumberFormat="1">
      <alignment horizontal="center" shrinkToFit="0" vertical="center" wrapText="1"/>
    </xf>
    <xf borderId="56" fillId="2" fontId="5" numFmtId="0" xfId="0" applyAlignment="1" applyBorder="1" applyFill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57" fillId="0" fontId="2" numFmtId="0" xfId="0" applyAlignment="1" applyBorder="1" applyFont="1">
      <alignment horizontal="center" shrinkToFit="0" vertical="center" wrapText="1"/>
    </xf>
    <xf borderId="42" fillId="0" fontId="2" numFmtId="164" xfId="0" applyAlignment="1" applyBorder="1" applyFont="1" applyNumberFormat="1">
      <alignment horizontal="center" shrinkToFit="0" vertical="center" wrapText="1"/>
    </xf>
    <xf borderId="43" fillId="0" fontId="2" numFmtId="164" xfId="0" applyAlignment="1" applyBorder="1" applyFont="1" applyNumberFormat="1">
      <alignment horizontal="center" shrinkToFit="0" vertical="center" wrapText="1"/>
    </xf>
    <xf borderId="58" fillId="0" fontId="2" numFmtId="10" xfId="0" applyAlignment="1" applyBorder="1" applyFont="1" applyNumberFormat="1">
      <alignment horizontal="center" shrinkToFit="0" vertical="center" wrapText="1"/>
    </xf>
    <xf borderId="59" fillId="0" fontId="2" numFmtId="164" xfId="0" applyAlignment="1" applyBorder="1" applyFont="1" applyNumberFormat="1">
      <alignment horizontal="center" shrinkToFit="0" vertical="center" wrapText="1"/>
    </xf>
    <xf borderId="30" fillId="0" fontId="2" numFmtId="164" xfId="0" applyAlignment="1" applyBorder="1" applyFont="1" applyNumberFormat="1">
      <alignment horizontal="center" shrinkToFit="0" vertical="center" wrapText="1"/>
    </xf>
    <xf borderId="27" fillId="0" fontId="2" numFmtId="10" xfId="0" applyAlignment="1" applyBorder="1" applyFont="1" applyNumberFormat="1">
      <alignment horizontal="center" shrinkToFit="0" vertical="center" wrapText="1"/>
    </xf>
    <xf borderId="48" fillId="0" fontId="2" numFmtId="164" xfId="0" applyAlignment="1" applyBorder="1" applyFont="1" applyNumberFormat="1">
      <alignment horizontal="center" shrinkToFit="0" vertical="center" wrapText="1"/>
    </xf>
    <xf borderId="60" fillId="0" fontId="7" numFmtId="0" xfId="0" applyAlignment="1" applyBorder="1" applyFont="1">
      <alignment horizontal="center" vertical="center"/>
    </xf>
    <xf borderId="61" fillId="0" fontId="6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40" fillId="0" fontId="9" numFmtId="0" xfId="0" applyAlignment="1" applyBorder="1" applyFont="1">
      <alignment horizontal="center" shrinkToFit="0" vertical="center" wrapText="1"/>
    </xf>
    <xf borderId="6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41" fillId="0" fontId="2" numFmtId="10" xfId="0" applyAlignment="1" applyBorder="1" applyFont="1" applyNumberFormat="1">
      <alignment horizontal="center" shrinkToFit="0" vertical="center" wrapText="1"/>
    </xf>
    <xf borderId="63" fillId="0" fontId="2" numFmtId="164" xfId="0" applyAlignment="1" applyBorder="1" applyFont="1" applyNumberFormat="1">
      <alignment horizontal="center" shrinkToFit="0" vertical="center" wrapText="1"/>
    </xf>
    <xf borderId="46" fillId="0" fontId="2" numFmtId="164" xfId="0" applyAlignment="1" applyBorder="1" applyFont="1" applyNumberFormat="1">
      <alignment horizontal="center" shrinkToFit="0" vertical="center" wrapText="1"/>
    </xf>
    <xf borderId="64" fillId="0" fontId="2" numFmtId="0" xfId="0" applyAlignment="1" applyBorder="1" applyFont="1">
      <alignment horizontal="center" shrinkToFit="0" vertical="center" wrapText="1"/>
    </xf>
    <xf borderId="65" fillId="0" fontId="7" numFmtId="0" xfId="0" applyAlignment="1" applyBorder="1" applyFont="1">
      <alignment horizontal="center" vertical="center"/>
    </xf>
    <xf borderId="38" fillId="0" fontId="1" numFmtId="164" xfId="0" applyAlignment="1" applyBorder="1" applyFont="1" applyNumberFormat="1">
      <alignment horizontal="center" vertical="center"/>
    </xf>
    <xf borderId="37" fillId="0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66" fillId="2" fontId="8" numFmtId="0" xfId="0" applyAlignment="1" applyBorder="1" applyFill="1" applyFont="1">
      <alignment horizontal="center" vertical="center"/>
    </xf>
    <xf borderId="67" fillId="0" fontId="6" numFmtId="0" xfId="0" applyAlignment="1" applyBorder="1" applyFont="1">
      <alignment vertical="center"/>
    </xf>
    <xf borderId="68" fillId="0" fontId="6" numFmtId="0" xfId="0" applyAlignment="1" applyBorder="1" applyFont="1">
      <alignment vertical="center"/>
    </xf>
    <xf borderId="0" fillId="0" fontId="11" numFmtId="0" xfId="0" applyAlignment="1" applyFont="1">
      <alignment horizontal="right" vertical="center"/>
    </xf>
    <xf borderId="69" fillId="0" fontId="1" numFmtId="0" xfId="0" applyAlignment="1" applyBorder="1" applyFont="1">
      <alignment horizontal="center" vertical="center"/>
    </xf>
    <xf borderId="70" fillId="0" fontId="6" numFmtId="0" xfId="0" applyAlignment="1" applyBorder="1" applyFont="1">
      <alignment vertical="center"/>
    </xf>
    <xf borderId="42" fillId="0" fontId="6" numFmtId="0" xfId="0" applyAlignment="1" applyBorder="1" applyFont="1">
      <alignment vertical="center"/>
    </xf>
    <xf borderId="58" fillId="0" fontId="1" numFmtId="164" xfId="0" applyAlignment="1" applyBorder="1" applyFont="1" applyNumberFormat="1">
      <alignment horizontal="center" vertical="center"/>
    </xf>
    <xf borderId="44" fillId="0" fontId="6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1" fillId="0" fontId="6" numFmtId="0" xfId="0" applyAlignment="1" applyBorder="1" applyFont="1">
      <alignment vertical="center"/>
    </xf>
    <xf borderId="8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35" fillId="2" fontId="5" numFmtId="0" xfId="0" applyAlignment="1" applyBorder="1" applyFill="1" applyFont="1">
      <alignment horizontal="center" shrinkToFit="0" vertical="center" wrapText="1"/>
    </xf>
    <xf borderId="72" fillId="0" fontId="2" numFmtId="0" xfId="0" applyAlignment="1" applyBorder="1" applyFont="1">
      <alignment horizontal="center" shrinkToFit="0" vertical="center" wrapText="1"/>
    </xf>
    <xf borderId="45" fillId="0" fontId="2" numFmtId="10" xfId="0" applyAlignment="1" applyBorder="1" applyFont="1" applyNumberFormat="1">
      <alignment horizontal="center" shrinkToFit="0" vertical="center" wrapText="1"/>
    </xf>
    <xf borderId="73" fillId="0" fontId="6" numFmtId="0" xfId="0" applyAlignment="1" applyBorder="1" applyFont="1">
      <alignment vertical="center"/>
    </xf>
    <xf borderId="74" fillId="0" fontId="2" numFmtId="0" xfId="0" applyAlignment="1" applyBorder="1" applyFont="1">
      <alignment horizontal="center" shrinkToFit="0" vertical="center" wrapText="1"/>
    </xf>
    <xf borderId="75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6.43"/>
    <col customWidth="1" min="3" max="3" width="20.0"/>
    <col customWidth="1" min="4" max="4" width="20.86"/>
    <col customWidth="1" min="5" max="5" width="20.0"/>
    <col customWidth="1" min="6" max="6" width="18.43"/>
    <col customWidth="1" min="7" max="7" width="15.86"/>
    <col customWidth="1" min="8" max="8" width="9.0"/>
    <col customWidth="1" hidden="1" min="9" max="9" width="8.71"/>
    <col customWidth="1" min="10" max="26" width="8.71"/>
  </cols>
  <sheetData>
    <row r="1" ht="15.75" customHeight="1">
      <c r="A1" s="1"/>
      <c r="B1" s="2" t="s">
        <v>0</v>
      </c>
      <c r="E1" s="3" t="s">
        <v>1</v>
      </c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5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/>
      <c r="C4" s="5"/>
      <c r="D4" s="5"/>
      <c r="E4" s="6"/>
      <c r="F4" s="6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3</v>
      </c>
      <c r="C5" s="8"/>
      <c r="D5" s="9" t="s">
        <v>4</v>
      </c>
      <c r="E5" s="10" t="s">
        <v>5</v>
      </c>
      <c r="F5" s="1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3" t="s">
        <v>6</v>
      </c>
      <c r="C6" s="14"/>
      <c r="D6" s="15"/>
      <c r="E6" s="16" t="s">
        <v>7</v>
      </c>
      <c r="F6" s="17"/>
      <c r="G6" s="1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9"/>
      <c r="C7" s="20"/>
      <c r="D7" s="21"/>
      <c r="E7" s="21"/>
      <c r="F7" s="20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22"/>
      <c r="B8" s="23" t="s">
        <v>8</v>
      </c>
      <c r="C8" s="24"/>
      <c r="D8" s="24"/>
      <c r="E8" s="24"/>
      <c r="F8" s="24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0" customHeight="1">
      <c r="A9" s="22"/>
      <c r="B9" s="25" t="s">
        <v>9</v>
      </c>
      <c r="C9" s="26" t="s">
        <v>10</v>
      </c>
      <c r="D9" s="27" t="s">
        <v>11</v>
      </c>
      <c r="E9" s="28" t="s">
        <v>12</v>
      </c>
      <c r="F9" s="29" t="s">
        <v>13</v>
      </c>
      <c r="G9" s="30" t="s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22"/>
      <c r="B10" s="31" t="s">
        <v>15</v>
      </c>
      <c r="C10" s="32" t="s">
        <v>15</v>
      </c>
      <c r="D10" s="33"/>
      <c r="E10" s="34">
        <v>323151.0</v>
      </c>
      <c r="F10" s="35">
        <v>53213.0</v>
      </c>
      <c r="G10" s="36">
        <f t="shared" ref="G10:G12" si="1">IF(F10=0,"-",(E10-F10)/F10)</f>
        <v>5.072782967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22"/>
      <c r="B11" s="37"/>
      <c r="C11" s="38" t="s">
        <v>16</v>
      </c>
      <c r="D11" s="39"/>
      <c r="E11" s="40"/>
      <c r="F11" s="41"/>
      <c r="G11" s="42" t="str">
        <f t="shared" si="1"/>
        <v>-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22"/>
      <c r="B12" s="37"/>
      <c r="C12" s="43" t="s">
        <v>17</v>
      </c>
      <c r="D12" s="44"/>
      <c r="E12" s="45"/>
      <c r="F12" s="46"/>
      <c r="G12" s="47" t="str">
        <f t="shared" si="1"/>
        <v>-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22"/>
      <c r="B13" s="48"/>
      <c r="C13" s="49" t="s">
        <v>18</v>
      </c>
      <c r="D13" s="50"/>
      <c r="E13" s="51">
        <f>SUM(E10:E12)</f>
        <v>323151</v>
      </c>
      <c r="F13" s="52"/>
      <c r="G13" s="5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22"/>
      <c r="B14" s="54" t="s">
        <v>19</v>
      </c>
      <c r="C14" s="55" t="s">
        <v>16</v>
      </c>
      <c r="D14" s="56"/>
      <c r="E14" s="57">
        <v>1.2424124E7</v>
      </c>
      <c r="F14" s="58">
        <v>53215.0</v>
      </c>
      <c r="G14" s="59">
        <f>IF(F14=0,"-",(E14-F14)/F14)</f>
        <v>232.4703373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37"/>
      <c r="C15" s="60" t="s">
        <v>20</v>
      </c>
      <c r="D15" s="61"/>
      <c r="E15" s="57"/>
      <c r="F15" s="58"/>
      <c r="G15" s="5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37"/>
      <c r="C16" s="62" t="s">
        <v>21</v>
      </c>
      <c r="D16" s="61"/>
      <c r="E16" s="57"/>
      <c r="F16" s="58"/>
      <c r="G16" s="59" t="str">
        <f t="shared" ref="G16:G28" si="2">IF(F16=0,"-",(E16-F16)/F16)</f>
        <v>-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37"/>
      <c r="C17" s="62" t="s">
        <v>22</v>
      </c>
      <c r="D17" s="61"/>
      <c r="E17" s="57"/>
      <c r="F17" s="58"/>
      <c r="G17" s="59" t="str">
        <f t="shared" si="2"/>
        <v>-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37"/>
      <c r="C18" s="62" t="s">
        <v>23</v>
      </c>
      <c r="D18" s="61"/>
      <c r="E18" s="57"/>
      <c r="F18" s="58"/>
      <c r="G18" s="59" t="str">
        <f t="shared" si="2"/>
        <v>-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37"/>
      <c r="C19" s="62" t="s">
        <v>24</v>
      </c>
      <c r="D19" s="61"/>
      <c r="E19" s="57"/>
      <c r="F19" s="58"/>
      <c r="G19" s="59" t="str">
        <f t="shared" si="2"/>
        <v>-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37"/>
      <c r="C20" s="63" t="s">
        <v>25</v>
      </c>
      <c r="D20" s="64" t="s">
        <v>26</v>
      </c>
      <c r="E20" s="57"/>
      <c r="F20" s="58"/>
      <c r="G20" s="59" t="str">
        <f t="shared" si="2"/>
        <v>-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37"/>
      <c r="C21" s="65"/>
      <c r="D21" s="64" t="s">
        <v>27</v>
      </c>
      <c r="E21" s="57"/>
      <c r="F21" s="58"/>
      <c r="G21" s="59" t="str">
        <f t="shared" si="2"/>
        <v>-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37"/>
      <c r="C22" s="62" t="s">
        <v>28</v>
      </c>
      <c r="D22" s="61"/>
      <c r="E22" s="57"/>
      <c r="F22" s="58"/>
      <c r="G22" s="59" t="str">
        <f t="shared" si="2"/>
        <v>-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37"/>
      <c r="C23" s="62" t="s">
        <v>29</v>
      </c>
      <c r="D23" s="61"/>
      <c r="E23" s="57"/>
      <c r="F23" s="58"/>
      <c r="G23" s="59" t="str">
        <f t="shared" si="2"/>
        <v>-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37"/>
      <c r="C24" s="62" t="s">
        <v>30</v>
      </c>
      <c r="D24" s="61"/>
      <c r="E24" s="57"/>
      <c r="F24" s="58"/>
      <c r="G24" s="59" t="str">
        <f t="shared" si="2"/>
        <v>-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37"/>
      <c r="C25" s="62" t="s">
        <v>31</v>
      </c>
      <c r="D25" s="61"/>
      <c r="E25" s="57"/>
      <c r="F25" s="58"/>
      <c r="G25" s="59" t="str">
        <f t="shared" si="2"/>
        <v>-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37"/>
      <c r="C26" s="62" t="s">
        <v>32</v>
      </c>
      <c r="D26" s="61"/>
      <c r="E26" s="57"/>
      <c r="F26" s="58"/>
      <c r="G26" s="59" t="str">
        <f t="shared" si="2"/>
        <v>-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37"/>
      <c r="C27" s="63" t="s">
        <v>33</v>
      </c>
      <c r="D27" s="66" t="s">
        <v>34</v>
      </c>
      <c r="E27" s="57"/>
      <c r="F27" s="58"/>
      <c r="G27" s="59" t="str">
        <f t="shared" si="2"/>
        <v>-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37"/>
      <c r="C28" s="67"/>
      <c r="D28" s="68" t="s">
        <v>35</v>
      </c>
      <c r="E28" s="69"/>
      <c r="F28" s="70"/>
      <c r="G28" s="71" t="str">
        <f t="shared" si="2"/>
        <v>-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48"/>
      <c r="C29" s="72" t="s">
        <v>18</v>
      </c>
      <c r="D29" s="73"/>
      <c r="E29" s="74">
        <f>SUM(E14:E28)</f>
        <v>12424124</v>
      </c>
      <c r="F29" s="75"/>
      <c r="G29" s="7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 t="s">
        <v>36</v>
      </c>
      <c r="B30" s="76" t="s">
        <v>37</v>
      </c>
      <c r="C30" s="77"/>
      <c r="D30" s="77"/>
      <c r="E30" s="78">
        <f>SUM(E13,E29)</f>
        <v>12747275</v>
      </c>
      <c r="F30" s="77"/>
      <c r="G30" s="7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80"/>
      <c r="C31" s="21"/>
      <c r="D31" s="21"/>
      <c r="E31" s="21"/>
      <c r="F31" s="21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5" customHeight="1">
      <c r="A32" s="1"/>
      <c r="B32" s="23" t="s">
        <v>38</v>
      </c>
      <c r="C32" s="24"/>
      <c r="D32" s="24"/>
      <c r="E32" s="24"/>
      <c r="F32" s="24"/>
      <c r="G32" s="24"/>
      <c r="H32" s="8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1"/>
      <c r="B33" s="25" t="s">
        <v>9</v>
      </c>
      <c r="C33" s="82" t="s">
        <v>10</v>
      </c>
      <c r="D33" s="83" t="s">
        <v>11</v>
      </c>
      <c r="E33" s="84" t="s">
        <v>12</v>
      </c>
      <c r="F33" s="85" t="s">
        <v>39</v>
      </c>
      <c r="G33" s="86" t="s">
        <v>40</v>
      </c>
      <c r="H33" s="8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87" t="s">
        <v>15</v>
      </c>
      <c r="C34" s="88" t="s">
        <v>20</v>
      </c>
      <c r="D34" s="61"/>
      <c r="E34" s="89">
        <v>1535133.0</v>
      </c>
      <c r="F34" s="90">
        <v>3613133.0</v>
      </c>
      <c r="G34" s="91">
        <f t="shared" ref="G34:G47" si="3">IF(F34=0,"-",(E34-F34)/F34)</f>
        <v>-0.5751241374</v>
      </c>
      <c r="H34" s="8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37"/>
      <c r="C35" s="62" t="s">
        <v>21</v>
      </c>
      <c r="D35" s="61"/>
      <c r="E35" s="92"/>
      <c r="F35" s="93"/>
      <c r="G35" s="94" t="str">
        <f t="shared" si="3"/>
        <v>-</v>
      </c>
      <c r="H35" s="8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37"/>
      <c r="C36" s="62" t="s">
        <v>22</v>
      </c>
      <c r="D36" s="61"/>
      <c r="E36" s="92"/>
      <c r="F36" s="93"/>
      <c r="G36" s="94" t="str">
        <f t="shared" si="3"/>
        <v>-</v>
      </c>
      <c r="H36" s="8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37"/>
      <c r="C37" s="62" t="s">
        <v>23</v>
      </c>
      <c r="D37" s="61"/>
      <c r="E37" s="92"/>
      <c r="F37" s="93"/>
      <c r="G37" s="94" t="str">
        <f t="shared" si="3"/>
        <v>-</v>
      </c>
      <c r="H37" s="8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37"/>
      <c r="C38" s="62" t="s">
        <v>24</v>
      </c>
      <c r="D38" s="61"/>
      <c r="E38" s="92"/>
      <c r="F38" s="93"/>
      <c r="G38" s="94" t="str">
        <f t="shared" si="3"/>
        <v>-</v>
      </c>
      <c r="H38" s="8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37"/>
      <c r="C39" s="63" t="s">
        <v>25</v>
      </c>
      <c r="D39" s="64" t="s">
        <v>26</v>
      </c>
      <c r="E39" s="92"/>
      <c r="F39" s="93"/>
      <c r="G39" s="94" t="str">
        <f t="shared" si="3"/>
        <v>-</v>
      </c>
      <c r="H39" s="8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37"/>
      <c r="C40" s="65"/>
      <c r="D40" s="64" t="s">
        <v>27</v>
      </c>
      <c r="E40" s="92"/>
      <c r="F40" s="93"/>
      <c r="G40" s="94" t="str">
        <f t="shared" si="3"/>
        <v>-</v>
      </c>
      <c r="H40" s="8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37"/>
      <c r="C41" s="62" t="s">
        <v>28</v>
      </c>
      <c r="D41" s="61"/>
      <c r="E41" s="92"/>
      <c r="F41" s="93"/>
      <c r="G41" s="94" t="str">
        <f t="shared" si="3"/>
        <v>-</v>
      </c>
      <c r="H41" s="8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37"/>
      <c r="C42" s="62" t="s">
        <v>29</v>
      </c>
      <c r="D42" s="61"/>
      <c r="E42" s="92"/>
      <c r="F42" s="93"/>
      <c r="G42" s="42" t="str">
        <f t="shared" si="3"/>
        <v>-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37"/>
      <c r="C43" s="62" t="s">
        <v>30</v>
      </c>
      <c r="D43" s="61"/>
      <c r="E43" s="92"/>
      <c r="F43" s="93"/>
      <c r="G43" s="42" t="str">
        <f t="shared" si="3"/>
        <v>-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37"/>
      <c r="C44" s="62" t="s">
        <v>31</v>
      </c>
      <c r="D44" s="61"/>
      <c r="E44" s="92"/>
      <c r="F44" s="93"/>
      <c r="G44" s="42" t="str">
        <f t="shared" si="3"/>
        <v>-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37"/>
      <c r="C45" s="62" t="s">
        <v>32</v>
      </c>
      <c r="D45" s="61"/>
      <c r="E45" s="92"/>
      <c r="F45" s="93"/>
      <c r="G45" s="42" t="str">
        <f t="shared" si="3"/>
        <v>-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37"/>
      <c r="C46" s="63" t="s">
        <v>33</v>
      </c>
      <c r="D46" s="66" t="s">
        <v>34</v>
      </c>
      <c r="E46" s="92"/>
      <c r="F46" s="93"/>
      <c r="G46" s="42" t="str">
        <f t="shared" si="3"/>
        <v>-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37"/>
      <c r="C47" s="67"/>
      <c r="D47" s="68" t="s">
        <v>35</v>
      </c>
      <c r="E47" s="95"/>
      <c r="F47" s="46"/>
      <c r="G47" s="47" t="str">
        <f t="shared" si="3"/>
        <v>-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37"/>
      <c r="C48" s="96" t="s">
        <v>41</v>
      </c>
      <c r="D48" s="97"/>
      <c r="E48" s="98">
        <f>SUM(E34:E47)</f>
        <v>1535133</v>
      </c>
      <c r="G48" s="5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99" t="s">
        <v>19</v>
      </c>
      <c r="C49" s="100" t="s">
        <v>20</v>
      </c>
      <c r="D49" s="56"/>
      <c r="E49" s="101"/>
      <c r="F49" s="102"/>
      <c r="G49" s="103" t="str">
        <f t="shared" ref="G49:G62" si="4">IF(F49=0,"-",(E49-F49)/F49)</f>
        <v>-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37"/>
      <c r="C50" s="62" t="s">
        <v>21</v>
      </c>
      <c r="D50" s="61"/>
      <c r="E50" s="92"/>
      <c r="F50" s="93"/>
      <c r="G50" s="64" t="str">
        <f t="shared" si="4"/>
        <v>-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37"/>
      <c r="C51" s="62" t="s">
        <v>22</v>
      </c>
      <c r="D51" s="61"/>
      <c r="E51" s="92"/>
      <c r="F51" s="93"/>
      <c r="G51" s="64" t="str">
        <f t="shared" si="4"/>
        <v>-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37"/>
      <c r="C52" s="62" t="s">
        <v>23</v>
      </c>
      <c r="D52" s="61"/>
      <c r="E52" s="92"/>
      <c r="F52" s="93"/>
      <c r="G52" s="64" t="str">
        <f t="shared" si="4"/>
        <v>-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37"/>
      <c r="C53" s="62" t="s">
        <v>24</v>
      </c>
      <c r="D53" s="61"/>
      <c r="E53" s="92"/>
      <c r="F53" s="93"/>
      <c r="G53" s="64" t="str">
        <f t="shared" si="4"/>
        <v>-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37"/>
      <c r="C54" s="63" t="s">
        <v>25</v>
      </c>
      <c r="D54" s="64" t="s">
        <v>26</v>
      </c>
      <c r="E54" s="92"/>
      <c r="F54" s="93"/>
      <c r="G54" s="64" t="str">
        <f t="shared" si="4"/>
        <v>-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37"/>
      <c r="C55" s="65"/>
      <c r="D55" s="64" t="s">
        <v>27</v>
      </c>
      <c r="E55" s="92"/>
      <c r="F55" s="93"/>
      <c r="G55" s="64" t="str">
        <f t="shared" si="4"/>
        <v>-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37"/>
      <c r="C56" s="62" t="s">
        <v>28</v>
      </c>
      <c r="D56" s="61"/>
      <c r="E56" s="92"/>
      <c r="F56" s="93"/>
      <c r="G56" s="64" t="str">
        <f t="shared" si="4"/>
        <v>-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37"/>
      <c r="C57" s="62" t="s">
        <v>29</v>
      </c>
      <c r="D57" s="61"/>
      <c r="E57" s="92"/>
      <c r="F57" s="93"/>
      <c r="G57" s="64" t="str">
        <f t="shared" si="4"/>
        <v>-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37"/>
      <c r="C58" s="62" t="s">
        <v>30</v>
      </c>
      <c r="D58" s="61"/>
      <c r="E58" s="92"/>
      <c r="F58" s="93"/>
      <c r="G58" s="64" t="str">
        <f t="shared" si="4"/>
        <v>-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37"/>
      <c r="C59" s="62" t="s">
        <v>31</v>
      </c>
      <c r="D59" s="61"/>
      <c r="E59" s="92"/>
      <c r="F59" s="93"/>
      <c r="G59" s="64" t="str">
        <f t="shared" si="4"/>
        <v>-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37"/>
      <c r="C60" s="62" t="s">
        <v>32</v>
      </c>
      <c r="D60" s="61"/>
      <c r="E60" s="104"/>
      <c r="F60" s="105"/>
      <c r="G60" s="106" t="str">
        <f t="shared" si="4"/>
        <v>-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37"/>
      <c r="C61" s="63" t="s">
        <v>33</v>
      </c>
      <c r="D61" s="66" t="s">
        <v>34</v>
      </c>
      <c r="E61" s="104"/>
      <c r="F61" s="105"/>
      <c r="G61" s="106" t="str">
        <f t="shared" si="4"/>
        <v>-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37"/>
      <c r="C62" s="67"/>
      <c r="D62" s="68" t="s">
        <v>35</v>
      </c>
      <c r="E62" s="95"/>
      <c r="F62" s="46"/>
      <c r="G62" s="68" t="str">
        <f t="shared" si="4"/>
        <v>-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48"/>
      <c r="C63" s="107" t="s">
        <v>41</v>
      </c>
      <c r="D63" s="73"/>
      <c r="E63" s="108">
        <f>SUM(E49:E62)</f>
        <v>0</v>
      </c>
      <c r="F63" s="52"/>
      <c r="G63" s="5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09" t="s">
        <v>42</v>
      </c>
      <c r="C64" s="52"/>
      <c r="D64" s="53"/>
      <c r="E64" s="78">
        <f>SUM(E48,E63)</f>
        <v>1535133</v>
      </c>
      <c r="F64" s="77"/>
      <c r="G64" s="7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10"/>
      <c r="F65" s="110"/>
      <c r="G65" s="1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11" t="s">
        <v>43</v>
      </c>
      <c r="C66" s="112"/>
      <c r="D66" s="112"/>
      <c r="E66" s="112"/>
      <c r="F66" s="112"/>
      <c r="G66" s="113"/>
      <c r="H66" s="1"/>
      <c r="I66" s="11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15" t="s">
        <v>15</v>
      </c>
      <c r="C67" s="116"/>
      <c r="D67" s="117"/>
      <c r="E67" s="118">
        <f>E13-E48</f>
        <v>-1211982</v>
      </c>
      <c r="F67" s="116"/>
      <c r="G67" s="1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20" t="s">
        <v>19</v>
      </c>
      <c r="C68" s="121"/>
      <c r="D68" s="14"/>
      <c r="E68" s="122">
        <f>E29-E63</f>
        <v>12424124</v>
      </c>
      <c r="F68" s="121"/>
      <c r="G68" s="1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23"/>
      <c r="C69" s="123"/>
      <c r="D69" s="123"/>
      <c r="E69" s="98"/>
      <c r="F69" s="123"/>
      <c r="G69" s="12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23"/>
      <c r="C70" s="123"/>
      <c r="D70" s="123"/>
      <c r="E70" s="98"/>
      <c r="F70" s="123"/>
      <c r="G70" s="12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23"/>
      <c r="C71" s="123"/>
      <c r="D71" s="123"/>
      <c r="E71" s="98"/>
      <c r="F71" s="123"/>
      <c r="G71" s="12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11" t="s">
        <v>44</v>
      </c>
      <c r="C72" s="112"/>
      <c r="D72" s="112"/>
      <c r="E72" s="112"/>
      <c r="F72" s="112"/>
      <c r="G72" s="1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15" t="s">
        <v>45</v>
      </c>
      <c r="C73" s="116"/>
      <c r="D73" s="117"/>
      <c r="E73" s="118">
        <v>6000000.0</v>
      </c>
      <c r="F73" s="116"/>
      <c r="G73" s="1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20" t="s">
        <v>46</v>
      </c>
      <c r="C74" s="121"/>
      <c r="D74" s="14"/>
      <c r="E74" s="122">
        <v>4000000.0</v>
      </c>
      <c r="F74" s="121"/>
      <c r="G74" s="1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24"/>
      <c r="F75" s="12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23" t="s">
        <v>47</v>
      </c>
      <c r="C76" s="24"/>
      <c r="D76" s="24"/>
      <c r="E76" s="24"/>
      <c r="F76" s="24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2.25" customHeight="1">
      <c r="A77" s="1"/>
      <c r="B77" s="25" t="s">
        <v>9</v>
      </c>
      <c r="C77" s="82" t="s">
        <v>48</v>
      </c>
      <c r="D77" s="83" t="s">
        <v>10</v>
      </c>
      <c r="E77" s="84" t="s">
        <v>12</v>
      </c>
      <c r="F77" s="85" t="s">
        <v>39</v>
      </c>
      <c r="G77" s="125" t="s">
        <v>40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87" t="s">
        <v>49</v>
      </c>
      <c r="C78" s="88" t="s">
        <v>50</v>
      </c>
      <c r="D78" s="126" t="s">
        <v>20</v>
      </c>
      <c r="E78" s="89">
        <v>1535133.0</v>
      </c>
      <c r="F78" s="90">
        <v>3613133.0</v>
      </c>
      <c r="G78" s="127">
        <f t="shared" ref="G78:G89" si="5">IF(F78=0,"-",(E78-F78)/F78)</f>
        <v>-0.5751241374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37"/>
      <c r="C79" s="128"/>
      <c r="D79" s="64" t="s">
        <v>21</v>
      </c>
      <c r="E79" s="92"/>
      <c r="F79" s="93"/>
      <c r="G79" s="42" t="str">
        <f t="shared" si="5"/>
        <v>-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37"/>
      <c r="C80" s="128"/>
      <c r="D80" s="64" t="s">
        <v>22</v>
      </c>
      <c r="E80" s="92"/>
      <c r="F80" s="93"/>
      <c r="G80" s="42" t="str">
        <f t="shared" si="5"/>
        <v>-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37"/>
      <c r="C81" s="128"/>
      <c r="D81" s="64" t="s">
        <v>23</v>
      </c>
      <c r="E81" s="92"/>
      <c r="F81" s="93"/>
      <c r="G81" s="42" t="str">
        <f t="shared" si="5"/>
        <v>-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37"/>
      <c r="C82" s="128"/>
      <c r="D82" s="64" t="s">
        <v>24</v>
      </c>
      <c r="E82" s="92"/>
      <c r="F82" s="93"/>
      <c r="G82" s="42" t="str">
        <f t="shared" si="5"/>
        <v>-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37"/>
      <c r="C83" s="128"/>
      <c r="D83" s="106" t="s">
        <v>25</v>
      </c>
      <c r="E83" s="92"/>
      <c r="F83" s="93"/>
      <c r="G83" s="42" t="str">
        <f t="shared" si="5"/>
        <v>-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37"/>
      <c r="C84" s="128"/>
      <c r="D84" s="64" t="s">
        <v>28</v>
      </c>
      <c r="E84" s="92"/>
      <c r="F84" s="93"/>
      <c r="G84" s="42" t="str">
        <f t="shared" si="5"/>
        <v>-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37"/>
      <c r="C85" s="128"/>
      <c r="D85" s="64" t="s">
        <v>29</v>
      </c>
      <c r="E85" s="92"/>
      <c r="F85" s="93"/>
      <c r="G85" s="42" t="str">
        <f t="shared" si="5"/>
        <v>-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37"/>
      <c r="C86" s="128"/>
      <c r="D86" s="64" t="s">
        <v>30</v>
      </c>
      <c r="E86" s="92"/>
      <c r="F86" s="93"/>
      <c r="G86" s="42" t="str">
        <f t="shared" si="5"/>
        <v>-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37"/>
      <c r="C87" s="128"/>
      <c r="D87" s="64" t="s">
        <v>31</v>
      </c>
      <c r="E87" s="92"/>
      <c r="F87" s="93"/>
      <c r="G87" s="42" t="str">
        <f t="shared" si="5"/>
        <v>-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37"/>
      <c r="C88" s="128"/>
      <c r="D88" s="64" t="s">
        <v>32</v>
      </c>
      <c r="E88" s="92"/>
      <c r="F88" s="93"/>
      <c r="G88" s="42" t="str">
        <f t="shared" si="5"/>
        <v>-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37"/>
      <c r="C89" s="67"/>
      <c r="D89" s="129" t="s">
        <v>33</v>
      </c>
      <c r="E89" s="95"/>
      <c r="F89" s="46"/>
      <c r="G89" s="47" t="str">
        <f t="shared" si="5"/>
        <v>-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37"/>
      <c r="C90" s="96" t="s">
        <v>41</v>
      </c>
      <c r="D90" s="97"/>
      <c r="E90" s="74">
        <f>SUM(E78:E89)</f>
        <v>1535133</v>
      </c>
      <c r="F90" s="75"/>
      <c r="G90" s="7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37"/>
      <c r="C91" s="100" t="s">
        <v>51</v>
      </c>
      <c r="D91" s="130" t="s">
        <v>20</v>
      </c>
      <c r="E91" s="101"/>
      <c r="F91" s="102"/>
      <c r="G91" s="103" t="str">
        <f t="shared" ref="G91:G102" si="6">IF(F91=0,"-",(E91-F91)/F91)</f>
        <v>-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37"/>
      <c r="C92" s="128"/>
      <c r="D92" s="64" t="s">
        <v>21</v>
      </c>
      <c r="E92" s="92"/>
      <c r="F92" s="93"/>
      <c r="G92" s="64" t="str">
        <f t="shared" si="6"/>
        <v>-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37"/>
      <c r="C93" s="128"/>
      <c r="D93" s="64" t="s">
        <v>22</v>
      </c>
      <c r="E93" s="92"/>
      <c r="F93" s="93"/>
      <c r="G93" s="64" t="str">
        <f t="shared" si="6"/>
        <v>-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37"/>
      <c r="C94" s="128"/>
      <c r="D94" s="64" t="s">
        <v>23</v>
      </c>
      <c r="E94" s="92"/>
      <c r="F94" s="93"/>
      <c r="G94" s="64" t="str">
        <f t="shared" si="6"/>
        <v>-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37"/>
      <c r="C95" s="128"/>
      <c r="D95" s="64" t="s">
        <v>24</v>
      </c>
      <c r="E95" s="92"/>
      <c r="F95" s="93"/>
      <c r="G95" s="64" t="str">
        <f t="shared" si="6"/>
        <v>-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37"/>
      <c r="C96" s="128"/>
      <c r="D96" s="106" t="s">
        <v>25</v>
      </c>
      <c r="E96" s="92"/>
      <c r="F96" s="93"/>
      <c r="G96" s="64" t="str">
        <f t="shared" si="6"/>
        <v>-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37"/>
      <c r="C97" s="128"/>
      <c r="D97" s="64" t="s">
        <v>28</v>
      </c>
      <c r="E97" s="92"/>
      <c r="F97" s="93"/>
      <c r="G97" s="64" t="str">
        <f t="shared" si="6"/>
        <v>-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37"/>
      <c r="C98" s="128"/>
      <c r="D98" s="64" t="s">
        <v>29</v>
      </c>
      <c r="E98" s="92"/>
      <c r="F98" s="93"/>
      <c r="G98" s="64" t="str">
        <f t="shared" si="6"/>
        <v>-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37"/>
      <c r="C99" s="128"/>
      <c r="D99" s="64" t="s">
        <v>30</v>
      </c>
      <c r="E99" s="92"/>
      <c r="F99" s="93"/>
      <c r="G99" s="64" t="str">
        <f t="shared" si="6"/>
        <v>-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37"/>
      <c r="C100" s="128"/>
      <c r="D100" s="64" t="s">
        <v>31</v>
      </c>
      <c r="E100" s="92"/>
      <c r="F100" s="93"/>
      <c r="G100" s="64" t="str">
        <f t="shared" si="6"/>
        <v>-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37"/>
      <c r="C101" s="128"/>
      <c r="D101" s="64" t="s">
        <v>32</v>
      </c>
      <c r="E101" s="104"/>
      <c r="F101" s="105"/>
      <c r="G101" s="106" t="str">
        <f t="shared" si="6"/>
        <v>-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37"/>
      <c r="C102" s="67"/>
      <c r="D102" s="129" t="s">
        <v>33</v>
      </c>
      <c r="E102" s="95"/>
      <c r="F102" s="46"/>
      <c r="G102" s="68" t="str">
        <f t="shared" si="6"/>
        <v>-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37"/>
      <c r="C103" s="107" t="s">
        <v>41</v>
      </c>
      <c r="D103" s="73"/>
      <c r="E103" s="74">
        <f>SUM(E91:E102)</f>
        <v>0</v>
      </c>
      <c r="F103" s="75"/>
      <c r="G103" s="7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09" t="s">
        <v>42</v>
      </c>
      <c r="C104" s="52"/>
      <c r="D104" s="53"/>
      <c r="E104" s="78">
        <f>SUM(E90,E103)</f>
        <v>1535133</v>
      </c>
      <c r="F104" s="77"/>
      <c r="G104" s="7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24"/>
      <c r="F105" s="12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11" t="s">
        <v>52</v>
      </c>
      <c r="C106" s="112"/>
      <c r="D106" s="112"/>
      <c r="E106" s="112"/>
      <c r="F106" s="112"/>
      <c r="G106" s="1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15" t="s">
        <v>50</v>
      </c>
      <c r="C107" s="116"/>
      <c r="D107" s="117"/>
      <c r="E107" s="118">
        <f>E73-E90</f>
        <v>4464867</v>
      </c>
      <c r="F107" s="116"/>
      <c r="G107" s="1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20" t="s">
        <v>51</v>
      </c>
      <c r="C108" s="121"/>
      <c r="D108" s="14"/>
      <c r="E108" s="122">
        <f>E74-E103</f>
        <v>4000000</v>
      </c>
      <c r="F108" s="121"/>
      <c r="G108" s="1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24"/>
      <c r="F109" s="12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24"/>
      <c r="F110" s="12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24"/>
      <c r="F111" s="12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24"/>
      <c r="F112" s="12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24"/>
      <c r="F113" s="12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24"/>
      <c r="F114" s="12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24"/>
      <c r="F115" s="12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24"/>
      <c r="F116" s="12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24"/>
      <c r="F117" s="12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24"/>
      <c r="F118" s="12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24"/>
      <c r="F119" s="12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24"/>
      <c r="F120" s="12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24"/>
      <c r="F121" s="12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24"/>
      <c r="F122" s="12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24"/>
      <c r="F123" s="12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24"/>
      <c r="F124" s="12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24"/>
      <c r="F125" s="12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24"/>
      <c r="F126" s="12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24"/>
      <c r="F127" s="12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24"/>
      <c r="F128" s="12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24"/>
      <c r="F129" s="12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24"/>
      <c r="F130" s="12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24"/>
      <c r="F131" s="12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24"/>
      <c r="F132" s="12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24"/>
      <c r="F133" s="12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24"/>
      <c r="F134" s="12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24"/>
      <c r="F135" s="12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24"/>
      <c r="F136" s="12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24"/>
      <c r="F137" s="12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24"/>
      <c r="F138" s="12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24"/>
      <c r="F139" s="12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24"/>
      <c r="F140" s="12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24"/>
      <c r="F141" s="12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24"/>
      <c r="F142" s="12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24"/>
      <c r="F143" s="12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24"/>
      <c r="F144" s="12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24"/>
      <c r="F145" s="12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24"/>
      <c r="F146" s="12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24"/>
      <c r="F147" s="12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24"/>
      <c r="F148" s="12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24"/>
      <c r="F149" s="12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24"/>
      <c r="F150" s="12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24"/>
      <c r="F151" s="12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24"/>
      <c r="F152" s="12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24"/>
      <c r="F153" s="12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24"/>
      <c r="F154" s="12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24"/>
      <c r="F155" s="12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24"/>
      <c r="F156" s="12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24"/>
      <c r="F157" s="12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24"/>
      <c r="F158" s="12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24"/>
      <c r="F159" s="12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24"/>
      <c r="F160" s="12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24"/>
      <c r="F161" s="12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24"/>
      <c r="F162" s="12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24"/>
      <c r="F163" s="12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24"/>
      <c r="F164" s="12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24"/>
      <c r="F165" s="12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24"/>
      <c r="F166" s="12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24"/>
      <c r="F167" s="12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24"/>
      <c r="F168" s="12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24"/>
      <c r="F169" s="12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24"/>
      <c r="F170" s="12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24"/>
      <c r="F171" s="12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24"/>
      <c r="F172" s="12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24"/>
      <c r="F173" s="12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24"/>
      <c r="F174" s="12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24"/>
      <c r="F175" s="12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24"/>
      <c r="F176" s="12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24"/>
      <c r="F177" s="12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24"/>
      <c r="F178" s="12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24"/>
      <c r="F179" s="12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24"/>
      <c r="F180" s="12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24"/>
      <c r="F181" s="12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24"/>
      <c r="F182" s="12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24"/>
      <c r="F183" s="12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24"/>
      <c r="F184" s="12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24"/>
      <c r="F185" s="12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24"/>
      <c r="F186" s="12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24"/>
      <c r="F187" s="12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24"/>
      <c r="F188" s="12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24"/>
      <c r="F189" s="12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24"/>
      <c r="F190" s="12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24"/>
      <c r="F191" s="12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24"/>
      <c r="F192" s="12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24"/>
      <c r="F193" s="12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24"/>
      <c r="F194" s="12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24"/>
      <c r="F195" s="12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24"/>
      <c r="F196" s="12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24"/>
      <c r="F197" s="12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24"/>
      <c r="F198" s="12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24"/>
      <c r="F199" s="12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24"/>
      <c r="F200" s="12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24"/>
      <c r="F201" s="12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24"/>
      <c r="F202" s="12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24"/>
      <c r="F203" s="12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24"/>
      <c r="F204" s="12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24"/>
      <c r="F205" s="12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24"/>
      <c r="F206" s="12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24"/>
      <c r="F207" s="12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24"/>
      <c r="F208" s="12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24"/>
      <c r="F209" s="12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24"/>
      <c r="F210" s="12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24"/>
      <c r="F211" s="12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24"/>
      <c r="F212" s="12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24"/>
      <c r="F213" s="12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24"/>
      <c r="F214" s="12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24"/>
      <c r="F215" s="12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24"/>
      <c r="F216" s="12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24"/>
      <c r="F217" s="12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24"/>
      <c r="F218" s="12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24"/>
      <c r="F219" s="12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24"/>
      <c r="F220" s="12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24"/>
      <c r="F221" s="12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24"/>
      <c r="F222" s="12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24"/>
      <c r="F223" s="12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24"/>
      <c r="F224" s="12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24"/>
      <c r="F225" s="12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24"/>
      <c r="F226" s="12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24"/>
      <c r="F227" s="12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24"/>
      <c r="F228" s="12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24"/>
      <c r="F229" s="12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24"/>
      <c r="F230" s="12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24"/>
      <c r="F231" s="12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24"/>
      <c r="F232" s="12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24"/>
      <c r="F233" s="12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24"/>
      <c r="F234" s="12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24"/>
      <c r="F235" s="12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24"/>
      <c r="F236" s="12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24"/>
      <c r="F237" s="12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24"/>
      <c r="F238" s="12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24"/>
      <c r="F239" s="12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24"/>
      <c r="F240" s="12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24"/>
      <c r="F241" s="12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24"/>
      <c r="F242" s="12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24"/>
      <c r="F243" s="12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24"/>
      <c r="F244" s="12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24"/>
      <c r="F245" s="12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24"/>
      <c r="F246" s="12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24"/>
      <c r="F247" s="12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24"/>
      <c r="F248" s="12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24"/>
      <c r="F249" s="12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24"/>
      <c r="F250" s="12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24"/>
      <c r="F251" s="12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24"/>
      <c r="F252" s="12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24"/>
      <c r="F253" s="12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24"/>
      <c r="F254" s="12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24"/>
      <c r="F255" s="12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24"/>
      <c r="F256" s="12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24"/>
      <c r="F257" s="12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24"/>
      <c r="F258" s="12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24"/>
      <c r="F259" s="12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24"/>
      <c r="F260" s="12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24"/>
      <c r="F261" s="12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24"/>
      <c r="F262" s="12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24"/>
      <c r="F263" s="12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24"/>
      <c r="F264" s="12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24"/>
      <c r="F265" s="12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24"/>
      <c r="F266" s="12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24"/>
      <c r="F267" s="12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24"/>
      <c r="F268" s="12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24"/>
      <c r="F269" s="12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24"/>
      <c r="F270" s="12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24"/>
      <c r="F271" s="12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24"/>
      <c r="F272" s="12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24"/>
      <c r="F273" s="12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24"/>
      <c r="F274" s="12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24"/>
      <c r="F275" s="12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24"/>
      <c r="F276" s="12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24"/>
      <c r="F277" s="12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24"/>
      <c r="F278" s="12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24"/>
      <c r="F279" s="12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24"/>
      <c r="F280" s="12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24"/>
      <c r="F281" s="12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24"/>
      <c r="F282" s="12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24"/>
      <c r="F283" s="12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24"/>
      <c r="F284" s="12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24"/>
      <c r="F285" s="12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24"/>
      <c r="F286" s="12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24"/>
      <c r="F287" s="12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24"/>
      <c r="F288" s="12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24"/>
      <c r="F289" s="12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24"/>
      <c r="F290" s="12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24"/>
      <c r="F291" s="12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24"/>
      <c r="F292" s="12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24"/>
      <c r="F293" s="12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24"/>
      <c r="F294" s="12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24"/>
      <c r="F295" s="12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24"/>
      <c r="F296" s="12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24"/>
      <c r="F297" s="12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24"/>
      <c r="F298" s="12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24"/>
      <c r="F299" s="12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24"/>
      <c r="F300" s="12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24"/>
      <c r="F301" s="12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24"/>
      <c r="F302" s="12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24"/>
      <c r="F303" s="12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24"/>
      <c r="F304" s="12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24"/>
      <c r="F305" s="12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24"/>
      <c r="F306" s="12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24"/>
      <c r="F307" s="12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24"/>
      <c r="F308" s="12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B68:D68"/>
    <mergeCell ref="E68:G68"/>
    <mergeCell ref="B72:G72"/>
    <mergeCell ref="B73:D73"/>
    <mergeCell ref="E73:G73"/>
    <mergeCell ref="B74:D74"/>
    <mergeCell ref="B76:G76"/>
    <mergeCell ref="E74:G74"/>
    <mergeCell ref="E90:G90"/>
    <mergeCell ref="E103:G103"/>
    <mergeCell ref="E104:G104"/>
    <mergeCell ref="B106:G106"/>
    <mergeCell ref="B107:D107"/>
    <mergeCell ref="E107:G107"/>
    <mergeCell ref="B1:D1"/>
    <mergeCell ref="E1:G1"/>
    <mergeCell ref="B2:G3"/>
    <mergeCell ref="B5:C5"/>
    <mergeCell ref="F5:G5"/>
    <mergeCell ref="F6:G6"/>
    <mergeCell ref="B8:G8"/>
    <mergeCell ref="B6:C6"/>
    <mergeCell ref="B10:B13"/>
    <mergeCell ref="C10:D10"/>
    <mergeCell ref="C11:D11"/>
    <mergeCell ref="C12:D12"/>
    <mergeCell ref="C13:D13"/>
    <mergeCell ref="E13:G13"/>
    <mergeCell ref="C20:C21"/>
    <mergeCell ref="C27:C28"/>
    <mergeCell ref="C29:D29"/>
    <mergeCell ref="E29:G29"/>
    <mergeCell ref="B30:D30"/>
    <mergeCell ref="E30:G30"/>
    <mergeCell ref="B32:G32"/>
    <mergeCell ref="E48:G48"/>
    <mergeCell ref="C61:C62"/>
    <mergeCell ref="C63:D63"/>
    <mergeCell ref="E63:G63"/>
    <mergeCell ref="E64:G64"/>
    <mergeCell ref="B66:G66"/>
    <mergeCell ref="B67:D67"/>
    <mergeCell ref="E67:G67"/>
    <mergeCell ref="B49:B63"/>
    <mergeCell ref="B78:B103"/>
    <mergeCell ref="C78:C89"/>
    <mergeCell ref="C90:D90"/>
    <mergeCell ref="C91:C102"/>
    <mergeCell ref="C103:D103"/>
    <mergeCell ref="B104:D104"/>
    <mergeCell ref="B14:B29"/>
    <mergeCell ref="B34:B48"/>
    <mergeCell ref="C39:C40"/>
    <mergeCell ref="C46:C47"/>
    <mergeCell ref="C48:D48"/>
    <mergeCell ref="C54:C55"/>
    <mergeCell ref="B64:D64"/>
    <mergeCell ref="B108:D108"/>
    <mergeCell ref="E108:G108"/>
  </mergeCells>
  <printOptions/>
  <pageMargins bottom="0.75" footer="0.0" header="0.0" left="0.25" right="0.25" top="0.75"/>
  <pageSetup paperSize="9" orientation="portrait"/>
  <drawing r:id="rId1"/>
</worksheet>
</file>