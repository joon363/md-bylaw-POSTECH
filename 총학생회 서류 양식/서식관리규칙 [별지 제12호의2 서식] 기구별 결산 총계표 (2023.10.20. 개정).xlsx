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<sst xmlns="http://schemas.openxmlformats.org/spreadsheetml/2006/main" count="133" uniqueCount="50">
  <si>
    <t>서식관리규칙 [별지 제12호의2 서식] &lt;개정 2023.10.20.&gt;</t>
  </si>
  <si>
    <t>포항공과대학교 총학생회</t>
  </si>
  <si>
    <t>20  학년도 총학생회 N분기 결산보고서</t>
  </si>
  <si>
    <t>기 구 명</t>
  </si>
  <si>
    <t xml:space="preserve"> 총학생회</t>
  </si>
  <si>
    <t>분         기</t>
  </si>
  <si>
    <t>기 구 장</t>
  </si>
  <si>
    <t>전 자 우 편</t>
  </si>
  <si>
    <t>수    입</t>
  </si>
  <si>
    <t>재원</t>
  </si>
  <si>
    <t>단체명</t>
  </si>
  <si>
    <t>특별 분류</t>
  </si>
  <si>
    <t>예산액</t>
  </si>
  <si>
    <t>수입액</t>
  </si>
  <si>
    <t>예산 대비 수입</t>
  </si>
  <si>
    <t>비고</t>
  </si>
  <si>
    <t>총학생회비</t>
  </si>
  <si>
    <t>이월금</t>
  </si>
  <si>
    <t>금융이자</t>
  </si>
  <si>
    <t>수입 소계</t>
  </si>
  <si>
    <t>기타수익금</t>
  </si>
  <si>
    <t>중앙집행위원회</t>
  </si>
  <si>
    <t>동아리연합회</t>
  </si>
  <si>
    <t>총여학생회</t>
  </si>
  <si>
    <t>생활관자치회</t>
  </si>
  <si>
    <t>무은재 학생회</t>
  </si>
  <si>
    <t>행사지원위원회</t>
  </si>
  <si>
    <t>준비위원회</t>
  </si>
  <si>
    <t>기타</t>
  </si>
  <si>
    <t>학생교육위원회</t>
  </si>
  <si>
    <t>도서관자치위원회</t>
  </si>
  <si>
    <t>학생·소수자인권위원회</t>
  </si>
  <si>
    <t>방송국</t>
  </si>
  <si>
    <t>학과학생대표자협의회</t>
  </si>
  <si>
    <t>특별기구</t>
  </si>
  <si>
    <t>특별기구명1</t>
  </si>
  <si>
    <t>특별기구명2</t>
  </si>
  <si>
    <t>총  수  입</t>
  </si>
  <si>
    <t>지    출</t>
  </si>
  <si>
    <t>지출액</t>
  </si>
  <si>
    <t>예산 대비 지출</t>
  </si>
  <si>
    <t>지출 소계</t>
  </si>
  <si>
    <t>총  지  출</t>
  </si>
  <si>
    <t>교    비    이    월    금</t>
  </si>
  <si>
    <t>행사</t>
  </si>
  <si>
    <t>비품</t>
  </si>
  <si>
    <t>교    비    지    출</t>
  </si>
  <si>
    <t>예산 분류</t>
  </si>
  <si>
    <t>교비지원금</t>
  </si>
  <si>
    <t>교비 잔액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</si>
</sst>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-* #,##0_-;\-* #,##0_-;_-* &quot;-&quot;_-;_-@"/>
  </numFmts>
  <fonts count="13">
    <font>
      <sz val="11.0"/>
      <color theme="1"/>
      <name val="Calibri"/>
      <scheme val="minor"/>
    </font>
    <font>
      <sz val="11.0"/>
      <color theme="1"/>
      <name val="Malgun Gothic"/>
    </font>
    <font>
      <sz val="9.0"/>
      <color theme="1"/>
      <name val="Malgun Gothic"/>
    </font>
    <font>
      <sz val="20.0"/>
      <color theme="1"/>
      <name val="Malgun Gothic"/>
    </font>
    <font>
      <b/>
      <sz val="10.0"/>
      <color theme="1"/>
      <name val="Malgun Gothic"/>
    </font>
    <font/>
    <font>
      <b/>
      <sz val="14.0"/>
      <color theme="1"/>
      <name val="Malgun Gothic"/>
    </font>
    <font>
      <b/>
      <sz val="11.0"/>
      <color theme="1"/>
      <name val="Malgun Gothic"/>
    </font>
    <font>
      <b/>
      <sz val="9.0"/>
      <color theme="1"/>
      <name val="Malgun Gothic"/>
    </font>
    <font>
      <sz val="10.0"/>
      <color theme="1"/>
      <name val="Malgun Gothic"/>
    </font>
    <font>
      <sz val="8.0"/>
      <color rgb="FFFF0000"/>
      <name val="Malgun Gothic"/>
    </font>
    <font>
      <sz val="9.0"/>
      <color rgb="FFFF0000"/>
      <name val="Batang"/>
    </font>
    <font>
      <sz val="12.0"/>
      <color theme="1"/>
      <name val="Malgun Gothic"/>
    </font>
  </fonts>
  <fills count="3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</fills>
  <borders count="72">
    <border/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double">
        <color rgb="FF000000"/>
      </bottom>
    </border>
    <border>
      <left/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/>
      <top style="thin">
        <color rgb="FF000000"/>
      </top>
      <bottom style="double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top style="double">
        <color rgb="FF000000"/>
      </top>
      <bottom style="medium">
        <color rgb="FF000000"/>
      </bottom>
    </border>
    <border>
      <right style="medium">
        <color rgb="FF000000"/>
      </right>
      <top style="double">
        <color rgb="FF000000"/>
      </top>
      <bottom style="medium">
        <color rgb="FF000000"/>
      </bottom>
    </border>
    <border>
      <left style="medium">
        <color rgb="FF000000"/>
      </left>
      <top style="double">
        <color rgb="FF000000"/>
      </top>
      <bottom style="medium">
        <color rgb="FF000000"/>
      </bottom>
    </border>
    <border>
      <top style="double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double">
        <color rgb="FF000000"/>
      </bottom>
    </border>
    <border>
      <right style="thin">
        <color rgb="FF000000"/>
      </righ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thin">
        <color rgb="FF000000"/>
      </right>
      <top/>
      <bottom style="double">
        <color rgb="FF000000"/>
      </bottom>
    </border>
    <border>
      <left style="thin">
        <color rgb="FF000000"/>
      </left>
      <right style="thin">
        <color rgb="FF000000"/>
      </right>
      <top/>
      <bottom style="double">
        <color rgb="FF000000"/>
      </bottom>
    </border>
    <border>
      <left style="thin">
        <color rgb="FF000000"/>
      </left>
      <right style="medium">
        <color rgb="FF000000"/>
      </right>
      <top/>
      <bottom style="double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</border>
    <border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top style="double">
        <color rgb="FF000000"/>
      </top>
    </border>
    <border>
      <right style="medium">
        <color rgb="FF000000"/>
      </right>
      <top style="double">
        <color rgb="FF000000"/>
      </top>
    </border>
    <border>
      <left style="thin">
        <color rgb="FF000000"/>
      </left>
      <right style="thin">
        <color rgb="FF000000"/>
      </right>
    </border>
    <border>
      <top style="thin">
        <color rgb="FF000000"/>
      </top>
      <bottom style="thin">
        <color rgb="FF000000"/>
      </bottom>
    </border>
    <border>
      <top style="medium">
        <color rgb="FF000000"/>
      </top>
    </border>
    <border>
      <left style="medium">
        <color rgb="FF000000"/>
      </left>
      <top style="medium">
        <color rgb="FF000000"/>
      </top>
      <bottom style="double">
        <color rgb="FF000000"/>
      </bottom>
    </border>
    <border>
      <top style="medium">
        <color rgb="FF000000"/>
      </top>
      <bottom style="double">
        <color rgb="FF000000"/>
      </bottom>
    </border>
    <border>
      <right style="medium">
        <color rgb="FF000000"/>
      </right>
      <top style="medium">
        <color rgb="FF000000"/>
      </top>
      <bottom style="double">
        <color rgb="FF000000"/>
      </bottom>
    </border>
    <border>
      <left style="medium">
        <color rgb="FF000000"/>
      </left>
      <bottom style="thin">
        <color rgb="FF000000"/>
      </bottom>
    </border>
    <border>
      <left style="thin">
        <color rgb="FF000000"/>
      </left>
      <top style="double">
        <color rgb="FF000000"/>
      </top>
      <bottom style="thin">
        <color rgb="FF000000"/>
      </bottom>
    </border>
    <border>
      <top style="double">
        <color rgb="FF000000"/>
      </top>
      <bottom style="thin">
        <color rgb="FF000000"/>
      </bottom>
    </border>
    <border>
      <right style="medium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double">
        <color rgb="FF000000"/>
      </top>
    </border>
    <border>
      <left style="thin">
        <color rgb="FF000000"/>
      </left>
      <right style="medium">
        <color rgb="FF000000"/>
      </right>
    </border>
  </borders>
  <cellStyleXfs count="1">
    <xf borderId="0" fillId="0" fontId="0" numFmtId="0" applyAlignment="1" applyFont="1"/>
  </cellStyleXfs>
  <cellXfs count="135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horizontal="left" vertical="center"/>
    </xf>
    <xf borderId="0" fillId="0" fontId="2" numFmtId="0" xfId="0" applyAlignment="1" applyFont="1">
      <alignment horizontal="right" vertical="center"/>
    </xf>
    <xf borderId="0" fillId="0" fontId="3" numFmtId="0" xfId="0" applyAlignment="1" applyFont="1">
      <alignment horizontal="center" vertical="center"/>
    </xf>
    <xf borderId="0" fillId="0" fontId="3" numFmtId="164" xfId="0" applyAlignment="1" applyFont="1" applyNumberFormat="1">
      <alignment horizontal="center" vertical="center"/>
    </xf>
    <xf borderId="1" fillId="2" fontId="4" numFmtId="0" xfId="0" applyAlignment="1" applyBorder="1" applyFill="1" applyFont="1">
      <alignment horizontal="center" vertical="center"/>
    </xf>
    <xf borderId="2" fillId="0" fontId="5" numFmtId="0" xfId="0" applyAlignment="1" applyBorder="1" applyFont="1">
      <alignment vertical="center"/>
    </xf>
    <xf borderId="3" fillId="0" fontId="4" numFmtId="0" xfId="0" applyAlignment="1" applyBorder="1" applyFont="1">
      <alignment horizontal="center" vertical="center"/>
    </xf>
    <xf borderId="4" fillId="2" fontId="4" numFmtId="0" xfId="0" applyAlignment="1" applyBorder="1" applyFill="1" applyFont="1">
      <alignment horizontal="center" vertical="center"/>
    </xf>
    <xf borderId="5" fillId="0" fontId="4" numFmtId="0" xfId="0" applyAlignment="1" applyBorder="1" applyFont="1">
      <alignment horizontal="center" vertical="center"/>
    </xf>
    <xf borderId="6" fillId="0" fontId="5" numFmtId="0" xfId="0" applyAlignment="1" applyBorder="1" applyFont="1">
      <alignment vertical="center"/>
    </xf>
    <xf borderId="7" fillId="2" fontId="4" numFmtId="0" xfId="0" applyAlignment="1" applyBorder="1" applyFill="1" applyFont="1">
      <alignment horizontal="center" vertical="center"/>
    </xf>
    <xf borderId="8" fillId="0" fontId="5" numFmtId="0" xfId="0" applyAlignment="1" applyBorder="1" applyFont="1">
      <alignment vertical="center"/>
    </xf>
    <xf borderId="9" fillId="0" fontId="4" numFmtId="0" xfId="0" applyAlignment="1" applyBorder="1" applyFont="1">
      <alignment horizontal="center" vertical="center"/>
    </xf>
    <xf borderId="10" fillId="2" fontId="4" numFmtId="0" xfId="0" applyAlignment="1" applyBorder="1" applyFill="1" applyFont="1">
      <alignment horizontal="center" vertical="center"/>
    </xf>
    <xf borderId="11" fillId="0" fontId="4" numFmtId="0" xfId="0" applyAlignment="1" applyBorder="1" applyFont="1">
      <alignment horizontal="center" vertical="center"/>
    </xf>
    <xf borderId="12" fillId="0" fontId="5" numFmtId="0" xfId="0" applyAlignment="1" applyBorder="1" applyFont="1">
      <alignment vertical="center"/>
    </xf>
    <xf borderId="13" fillId="0" fontId="4" numFmtId="0" xfId="0" applyAlignment="1" applyBorder="1" applyFont="1">
      <alignment vertical="center"/>
    </xf>
    <xf borderId="1" fillId="2" fontId="6" numFmtId="0" xfId="0" applyAlignment="1" applyBorder="1" applyFill="1" applyFont="1">
      <alignment horizontal="center" vertical="center"/>
    </xf>
    <xf borderId="5" fillId="0" fontId="5" numFmtId="0" xfId="0" applyAlignment="1" applyBorder="1" applyFont="1">
      <alignment vertical="center"/>
    </xf>
    <xf borderId="14" fillId="2" fontId="4" numFmtId="0" xfId="0" applyAlignment="1" applyBorder="1" applyFill="1" applyFont="1">
      <alignment horizontal="center" vertical="center"/>
    </xf>
    <xf borderId="15" fillId="2" fontId="4" numFmtId="0" xfId="0" applyAlignment="1" applyBorder="1" applyFill="1" applyFont="1">
      <alignment horizontal="center" vertical="center"/>
    </xf>
    <xf borderId="16" fillId="2" fontId="4" numFmtId="0" xfId="0" applyAlignment="1" applyBorder="1" applyFill="1" applyFont="1">
      <alignment horizontal="center" vertical="center"/>
    </xf>
    <xf borderId="17" fillId="2" fontId="4" numFmtId="164" xfId="0" applyAlignment="1" applyBorder="1" applyFill="1" applyFont="1" applyNumberFormat="1">
      <alignment horizontal="center" shrinkToFit="0" vertical="center" wrapText="1"/>
    </xf>
    <xf borderId="18" fillId="2" fontId="4" numFmtId="164" xfId="0" applyAlignment="1" applyBorder="1" applyFill="1" applyFont="1" applyNumberFormat="1">
      <alignment horizontal="center" shrinkToFit="0" vertical="center" wrapText="1"/>
    </xf>
    <xf borderId="15" fillId="2" fontId="4" numFmtId="0" xfId="0" applyAlignment="1" applyBorder="1" applyFill="1" applyFont="1">
      <alignment horizontal="center" shrinkToFit="0" vertical="center" wrapText="1"/>
    </xf>
    <xf borderId="19" fillId="0" fontId="2" numFmtId="0" xfId="0" applyAlignment="1" applyBorder="1" applyFont="1">
      <alignment horizontal="center" shrinkToFit="0" vertical="center" wrapText="1"/>
    </xf>
    <xf borderId="20" fillId="0" fontId="2" numFmtId="0" xfId="0" applyAlignment="1" applyBorder="1" applyFont="1">
      <alignment horizontal="center" vertical="center"/>
    </xf>
    <xf borderId="21" fillId="0" fontId="5" numFmtId="0" xfId="0" applyAlignment="1" applyBorder="1" applyFont="1">
      <alignment vertical="center"/>
    </xf>
    <xf borderId="22" fillId="0" fontId="7" numFmtId="164" xfId="0" applyAlignment="1" applyBorder="1" applyFont="1" applyNumberFormat="1">
      <alignment horizontal="center" shrinkToFit="0" vertical="center" wrapText="1"/>
    </xf>
    <xf borderId="23" fillId="0" fontId="7" numFmtId="164" xfId="0" applyAlignment="1" applyBorder="1" applyFont="1" applyNumberFormat="1">
      <alignment horizontal="center" shrinkToFit="0" vertical="center" wrapText="1"/>
    </xf>
    <xf borderId="23" fillId="0" fontId="2" numFmtId="10" xfId="0" applyAlignment="1" applyBorder="1" applyFont="1" applyNumberFormat="1">
      <alignment horizontal="center" shrinkToFit="0" vertical="center" wrapText="1"/>
    </xf>
    <xf borderId="24" fillId="0" fontId="7" numFmtId="164" xfId="0" applyAlignment="1" applyBorder="1" applyFont="1" applyNumberFormat="1">
      <alignment horizontal="center" shrinkToFit="0" vertical="center" wrapText="1"/>
    </xf>
    <xf borderId="19" fillId="0" fontId="5" numFmtId="0" xfId="0" applyAlignment="1" applyBorder="1" applyFont="1">
      <alignment vertical="center"/>
    </xf>
    <xf borderId="25" fillId="0" fontId="2" numFmtId="0" xfId="0" applyAlignment="1" applyBorder="1" applyFont="1">
      <alignment horizontal="center" vertical="center"/>
    </xf>
    <xf borderId="26" fillId="0" fontId="5" numFmtId="0" xfId="0" applyAlignment="1" applyBorder="1" applyFont="1">
      <alignment vertical="center"/>
    </xf>
    <xf borderId="27" fillId="0" fontId="7" numFmtId="164" xfId="0" applyAlignment="1" applyBorder="1" applyFont="1" applyNumberFormat="1">
      <alignment horizontal="center" shrinkToFit="0" vertical="center" wrapText="1"/>
    </xf>
    <xf borderId="28" fillId="0" fontId="7" numFmtId="164" xfId="0" applyAlignment="1" applyBorder="1" applyFont="1" applyNumberFormat="1">
      <alignment horizontal="center" shrinkToFit="0" vertical="center" wrapText="1"/>
    </xf>
    <xf borderId="29" fillId="0" fontId="2" numFmtId="10" xfId="0" applyAlignment="1" applyBorder="1" applyFont="1" applyNumberFormat="1">
      <alignment horizontal="center" shrinkToFit="0" vertical="center" wrapText="1"/>
    </xf>
    <xf borderId="30" fillId="0" fontId="7" numFmtId="164" xfId="0" applyAlignment="1" applyBorder="1" applyFont="1" applyNumberFormat="1">
      <alignment horizontal="center" shrinkToFit="0" vertical="center" wrapText="1"/>
    </xf>
    <xf borderId="31" fillId="0" fontId="2" numFmtId="0" xfId="0" applyAlignment="1" applyBorder="1" applyFont="1">
      <alignment horizontal="center" vertical="center"/>
    </xf>
    <xf borderId="32" fillId="0" fontId="5" numFmtId="0" xfId="0" applyAlignment="1" applyBorder="1" applyFont="1">
      <alignment vertical="center"/>
    </xf>
    <xf borderId="14" fillId="0" fontId="7" numFmtId="164" xfId="0" applyAlignment="1" applyBorder="1" applyFont="1" applyNumberFormat="1">
      <alignment shrinkToFit="0" vertical="center" wrapText="1"/>
    </xf>
    <xf borderId="15" fillId="0" fontId="7" numFmtId="164" xfId="0" applyAlignment="1" applyBorder="1" applyFont="1" applyNumberFormat="1">
      <alignment shrinkToFit="0" vertical="center" wrapText="1"/>
    </xf>
    <xf borderId="15" fillId="0" fontId="2" numFmtId="10" xfId="0" applyAlignment="1" applyBorder="1" applyFont="1" applyNumberFormat="1">
      <alignment horizontal="center" shrinkToFit="0" vertical="center" wrapText="1"/>
    </xf>
    <xf borderId="30" fillId="0" fontId="7" numFmtId="164" xfId="0" applyAlignment="1" applyBorder="1" applyFont="1" applyNumberFormat="1">
      <alignment shrinkToFit="0" vertical="center" wrapText="1"/>
    </xf>
    <xf borderId="33" fillId="0" fontId="5" numFmtId="0" xfId="0" applyAlignment="1" applyBorder="1" applyFont="1">
      <alignment vertical="center"/>
    </xf>
    <xf borderId="34" fillId="0" fontId="8" numFmtId="0" xfId="0" applyAlignment="1" applyBorder="1" applyFont="1">
      <alignment horizontal="center" vertical="center"/>
    </xf>
    <xf borderId="35" fillId="0" fontId="5" numFmtId="0" xfId="0" applyAlignment="1" applyBorder="1" applyFont="1">
      <alignment vertical="center"/>
    </xf>
    <xf borderId="36" fillId="0" fontId="1" numFmtId="164" xfId="0" applyAlignment="1" applyBorder="1" applyFont="1" applyNumberFormat="1">
      <alignment horizontal="center" shrinkToFit="0" vertical="center" wrapText="1"/>
    </xf>
    <xf borderId="37" fillId="0" fontId="5" numFmtId="0" xfId="0" applyAlignment="1" applyBorder="1" applyFont="1">
      <alignment vertical="center"/>
    </xf>
    <xf borderId="38" fillId="0" fontId="2" numFmtId="0" xfId="0" applyAlignment="1" applyBorder="1" applyFont="1">
      <alignment horizontal="center" shrinkToFit="0" vertical="center" wrapText="1"/>
    </xf>
    <xf borderId="3" fillId="0" fontId="2" numFmtId="0" xfId="0" applyAlignment="1" applyBorder="1" applyFont="1">
      <alignment horizontal="center" shrinkToFit="0" vertical="center" wrapText="1"/>
    </xf>
    <xf borderId="39" fillId="0" fontId="2" numFmtId="0" xfId="0" applyAlignment="1" applyBorder="1" applyFont="1">
      <alignment horizontal="center" shrinkToFit="0" vertical="center" wrapText="1"/>
    </xf>
    <xf borderId="40" fillId="0" fontId="2" numFmtId="164" xfId="0" applyAlignment="1" applyBorder="1" applyFont="1" applyNumberFormat="1">
      <alignment shrinkToFit="0" vertical="center" wrapText="1"/>
    </xf>
    <xf borderId="3" fillId="0" fontId="2" numFmtId="164" xfId="0" applyAlignment="1" applyBorder="1" applyFont="1" applyNumberFormat="1">
      <alignment shrinkToFit="0" vertical="center" wrapText="1"/>
    </xf>
    <xf borderId="3" fillId="0" fontId="2" numFmtId="10" xfId="0" applyAlignment="1" applyBorder="1" applyFont="1" applyNumberFormat="1">
      <alignment horizontal="center" shrinkToFit="0" vertical="center" wrapText="1"/>
    </xf>
    <xf borderId="41" fillId="0" fontId="2" numFmtId="0" xfId="0" applyAlignment="1" applyBorder="1" applyFont="1">
      <alignment horizontal="center" shrinkToFit="0" vertical="center" wrapText="1"/>
    </xf>
    <xf borderId="23" fillId="0" fontId="2" numFmtId="0" xfId="0" applyAlignment="1" applyBorder="1" applyFont="1">
      <alignment horizontal="center" shrinkToFit="0" vertical="center" wrapText="1"/>
    </xf>
    <xf borderId="24" fillId="0" fontId="2" numFmtId="0" xfId="0" applyAlignment="1" applyBorder="1" applyFont="1">
      <alignment horizontal="center" shrinkToFit="0" vertical="center" wrapText="1"/>
    </xf>
    <xf borderId="42" fillId="0" fontId="2" numFmtId="164" xfId="0" applyAlignment="1" applyBorder="1" applyFont="1" applyNumberFormat="1">
      <alignment shrinkToFit="0" vertical="center" wrapText="1"/>
    </xf>
    <xf borderId="23" fillId="0" fontId="2" numFmtId="164" xfId="0" applyAlignment="1" applyBorder="1" applyFont="1" applyNumberFormat="1">
      <alignment shrinkToFit="0" vertical="center" wrapText="1"/>
    </xf>
    <xf borderId="42" fillId="0" fontId="2" numFmtId="10" xfId="0" applyAlignment="1" applyBorder="1" applyFont="1" applyNumberFormat="1">
      <alignment horizontal="center" shrinkToFit="0" vertical="center" wrapText="1"/>
    </xf>
    <xf borderId="29" fillId="0" fontId="2" numFmtId="0" xfId="0" applyAlignment="1" applyBorder="1" applyFont="1">
      <alignment horizontal="center" shrinkToFit="0" vertical="center" wrapText="1"/>
    </xf>
    <xf borderId="43" fillId="0" fontId="2" numFmtId="0" xfId="0" applyAlignment="1" applyBorder="1" applyFont="1">
      <alignment horizontal="center" shrinkToFit="0" vertical="center" wrapText="1"/>
    </xf>
    <xf borderId="28" fillId="0" fontId="2" numFmtId="0" xfId="0" applyAlignment="1" applyBorder="1" applyFont="1">
      <alignment horizontal="center" shrinkToFit="0" vertical="center" wrapText="1"/>
    </xf>
    <xf borderId="23" fillId="0" fontId="5" numFmtId="0" xfId="0" applyAlignment="1" applyBorder="1" applyFont="1">
      <alignment vertical="center"/>
    </xf>
    <xf borderId="44" fillId="0" fontId="2" numFmtId="164" xfId="0" applyAlignment="1" applyBorder="1" applyFont="1" applyNumberFormat="1">
      <alignment shrinkToFit="0" vertical="center" wrapText="1"/>
    </xf>
    <xf borderId="29" fillId="0" fontId="2" numFmtId="164" xfId="0" applyAlignment="1" applyBorder="1" applyFont="1" applyNumberFormat="1">
      <alignment shrinkToFit="0" vertical="center" wrapText="1"/>
    </xf>
    <xf borderId="44" fillId="0" fontId="2" numFmtId="10" xfId="0" applyAlignment="1" applyBorder="1" applyFont="1" applyNumberFormat="1">
      <alignment horizontal="center" shrinkToFit="0" vertical="center" wrapText="1"/>
    </xf>
    <xf borderId="26" fillId="0" fontId="2" numFmtId="0" xfId="0" applyAlignment="1" applyBorder="1" applyFont="1">
      <alignment horizontal="center" shrinkToFit="0" vertical="center" wrapText="1"/>
    </xf>
    <xf borderId="45" fillId="0" fontId="5" numFmtId="0" xfId="0" applyAlignment="1" applyBorder="1" applyFont="1">
      <alignment vertical="center"/>
    </xf>
    <xf borderId="16" fillId="0" fontId="2" numFmtId="0" xfId="0" applyAlignment="1" applyBorder="1" applyFont="1">
      <alignment horizontal="center" shrinkToFit="0" vertical="center" wrapText="1"/>
    </xf>
    <xf borderId="27" fillId="0" fontId="2" numFmtId="164" xfId="0" applyAlignment="1" applyBorder="1" applyFont="1" applyNumberFormat="1">
      <alignment shrinkToFit="0" vertical="center" wrapText="1"/>
    </xf>
    <xf borderId="28" fillId="0" fontId="2" numFmtId="164" xfId="0" applyAlignment="1" applyBorder="1" applyFont="1" applyNumberFormat="1">
      <alignment shrinkToFit="0" vertical="center" wrapText="1"/>
    </xf>
    <xf borderId="46" fillId="0" fontId="2" numFmtId="10" xfId="0" applyAlignment="1" applyBorder="1" applyFont="1" applyNumberFormat="1">
      <alignment horizontal="center" shrinkToFit="0" vertical="center" wrapText="1"/>
    </xf>
    <xf borderId="47" fillId="0" fontId="2" numFmtId="0" xfId="0" applyAlignment="1" applyBorder="1" applyFont="1">
      <alignment horizontal="center" shrinkToFit="0" vertical="center" wrapText="1"/>
    </xf>
    <xf borderId="34" fillId="0" fontId="8" numFmtId="0" xfId="0" applyAlignment="1" applyBorder="1" applyFont="1">
      <alignment horizontal="center" shrinkToFit="0" vertical="center" wrapText="1"/>
    </xf>
    <xf borderId="48" fillId="0" fontId="6" numFmtId="0" xfId="0" applyAlignment="1" applyBorder="1" applyFont="1">
      <alignment horizontal="center" vertical="center"/>
    </xf>
    <xf borderId="49" fillId="0" fontId="5" numFmtId="0" xfId="0" applyAlignment="1" applyBorder="1" applyFont="1">
      <alignment vertical="center"/>
    </xf>
    <xf borderId="50" fillId="0" fontId="5" numFmtId="0" xfId="0" applyAlignment="1" applyBorder="1" applyFont="1">
      <alignment vertical="center"/>
    </xf>
    <xf borderId="51" fillId="0" fontId="6" numFmtId="164" xfId="0" applyAlignment="1" applyBorder="1" applyFont="1" applyNumberFormat="1">
      <alignment horizontal="center" vertical="center"/>
    </xf>
    <xf borderId="13" fillId="0" fontId="5" numFmtId="0" xfId="0" applyAlignment="1" applyBorder="1" applyFont="1">
      <alignment vertical="center"/>
    </xf>
    <xf borderId="52" fillId="0" fontId="5" numFmtId="0" xfId="0" applyAlignment="1" applyBorder="1" applyFont="1">
      <alignment vertical="center"/>
    </xf>
    <xf borderId="13" fillId="0" fontId="7" numFmtId="0" xfId="0" applyAlignment="1" applyBorder="1" applyFont="1">
      <alignment vertical="center"/>
    </xf>
    <xf borderId="53" fillId="2" fontId="4" numFmtId="164" xfId="0" applyAlignment="1" applyBorder="1" applyFill="1" applyFont="1" applyNumberFormat="1">
      <alignment horizontal="center" shrinkToFit="0" vertical="center" wrapText="1"/>
    </xf>
    <xf borderId="54" fillId="2" fontId="4" numFmtId="0" xfId="0" applyAlignment="1" applyBorder="1" applyFill="1" applyFont="1">
      <alignment horizontal="center" shrinkToFit="0" vertical="center" wrapText="1"/>
    </xf>
    <xf borderId="55" fillId="2" fontId="4" numFmtId="0" xfId="0" applyAlignment="1" applyBorder="1" applyFill="1" applyFont="1">
      <alignment horizontal="center" vertical="center"/>
    </xf>
    <xf borderId="19" fillId="0" fontId="9" numFmtId="0" xfId="0" applyAlignment="1" applyBorder="1" applyFont="1">
      <alignment horizontal="center" shrinkToFit="0" vertical="center" wrapText="1"/>
    </xf>
    <xf borderId="56" fillId="0" fontId="2" numFmtId="0" xfId="0" applyAlignment="1" applyBorder="1" applyFont="1">
      <alignment horizontal="center" shrinkToFit="0" vertical="center" wrapText="1"/>
    </xf>
    <xf borderId="42" fillId="0" fontId="2" numFmtId="164" xfId="0" applyAlignment="1" applyBorder="1" applyFont="1" applyNumberFormat="1">
      <alignment horizontal="center" shrinkToFit="0" vertical="center" wrapText="1"/>
    </xf>
    <xf borderId="23" fillId="0" fontId="2" numFmtId="164" xfId="0" applyAlignment="1" applyBorder="1" applyFont="1" applyNumberFormat="1">
      <alignment horizontal="center" shrinkToFit="0" vertical="center" wrapText="1"/>
    </xf>
    <xf borderId="44" fillId="0" fontId="2" numFmtId="164" xfId="0" applyAlignment="1" applyBorder="1" applyFont="1" applyNumberFormat="1">
      <alignment horizontal="center" shrinkToFit="0" vertical="center" wrapText="1"/>
    </xf>
    <xf borderId="29" fillId="0" fontId="2" numFmtId="164" xfId="0" applyAlignment="1" applyBorder="1" applyFont="1" applyNumberFormat="1">
      <alignment horizontal="center" shrinkToFit="0" vertical="center" wrapText="1"/>
    </xf>
    <xf borderId="57" fillId="0" fontId="2" numFmtId="164" xfId="0" applyAlignment="1" applyBorder="1" applyFont="1" applyNumberFormat="1">
      <alignment horizontal="center" shrinkToFit="0" vertical="center" wrapText="1"/>
    </xf>
    <xf borderId="15" fillId="0" fontId="2" numFmtId="164" xfId="0" applyAlignment="1" applyBorder="1" applyFont="1" applyNumberFormat="1">
      <alignment horizontal="center" shrinkToFit="0" vertical="center" wrapText="1"/>
    </xf>
    <xf borderId="58" fillId="0" fontId="7" numFmtId="0" xfId="0" applyAlignment="1" applyBorder="1" applyFont="1">
      <alignment horizontal="center" vertical="center"/>
    </xf>
    <xf borderId="59" fillId="0" fontId="5" numFmtId="0" xfId="0" applyAlignment="1" applyBorder="1" applyFont="1">
      <alignment vertical="center"/>
    </xf>
    <xf borderId="49" fillId="0" fontId="7" numFmtId="164" xfId="0" applyAlignment="1" applyBorder="1" applyFont="1" applyNumberFormat="1">
      <alignment horizontal="center" vertical="center"/>
    </xf>
    <xf borderId="60" fillId="0" fontId="2" numFmtId="164" xfId="0" applyAlignment="1" applyBorder="1" applyFont="1" applyNumberFormat="1">
      <alignment horizontal="center" shrinkToFit="0" vertical="center" wrapText="1"/>
    </xf>
    <xf borderId="61" fillId="0" fontId="2" numFmtId="164" xfId="0" applyAlignment="1" applyBorder="1" applyFont="1" applyNumberFormat="1">
      <alignment horizontal="center" shrinkToFit="0" vertical="center" wrapText="1"/>
    </xf>
    <xf borderId="44" fillId="0" fontId="2" numFmtId="0" xfId="0" applyAlignment="1" applyBorder="1" applyFont="1">
      <alignment horizontal="center" shrinkToFit="0" vertical="center" wrapText="1"/>
    </xf>
    <xf borderId="46" fillId="0" fontId="2" numFmtId="164" xfId="0" applyAlignment="1" applyBorder="1" applyFont="1" applyNumberFormat="1">
      <alignment horizontal="center" shrinkToFit="0" vertical="center" wrapText="1"/>
    </xf>
    <xf borderId="28" fillId="0" fontId="2" numFmtId="164" xfId="0" applyAlignment="1" applyBorder="1" applyFont="1" applyNumberFormat="1">
      <alignment horizontal="center" shrinkToFit="0" vertical="center" wrapText="1"/>
    </xf>
    <xf borderId="30" fillId="0" fontId="2" numFmtId="0" xfId="0" applyAlignment="1" applyBorder="1" applyFont="1">
      <alignment horizontal="center" shrinkToFit="0" vertical="center" wrapText="1"/>
    </xf>
    <xf borderId="15" fillId="0" fontId="2" numFmtId="0" xfId="0" applyAlignment="1" applyBorder="1" applyFont="1">
      <alignment horizontal="center" shrinkToFit="0" vertical="center" wrapText="1"/>
    </xf>
    <xf borderId="34" fillId="0" fontId="7" numFmtId="0" xfId="0" applyAlignment="1" applyBorder="1" applyFont="1">
      <alignment horizontal="center" vertical="center"/>
    </xf>
    <xf borderId="37" fillId="0" fontId="7" numFmtId="164" xfId="0" applyAlignment="1" applyBorder="1" applyFont="1" applyNumberFormat="1">
      <alignment horizontal="center" vertical="center"/>
    </xf>
    <xf borderId="51" fillId="0" fontId="6" numFmtId="0" xfId="0" applyAlignment="1" applyBorder="1" applyFont="1">
      <alignment horizontal="center" shrinkToFit="0" vertical="center" wrapText="1"/>
    </xf>
    <xf borderId="13" fillId="0" fontId="6" numFmtId="164" xfId="0" applyAlignment="1" applyBorder="1" applyFont="1" applyNumberFormat="1">
      <alignment horizontal="center" vertical="center"/>
    </xf>
    <xf borderId="62" fillId="0" fontId="10" numFmtId="0" xfId="0" applyAlignment="1" applyBorder="1" applyFont="1">
      <alignment shrinkToFit="0" vertical="center" wrapText="1"/>
    </xf>
    <xf borderId="63" fillId="2" fontId="6" numFmtId="0" xfId="0" applyAlignment="1" applyBorder="1" applyFill="1" applyFont="1">
      <alignment horizontal="center" vertical="center"/>
    </xf>
    <xf borderId="64" fillId="0" fontId="5" numFmtId="0" xfId="0" applyAlignment="1" applyBorder="1" applyFont="1">
      <alignment vertical="center"/>
    </xf>
    <xf borderId="65" fillId="0" fontId="5" numFmtId="0" xfId="0" applyAlignment="1" applyBorder="1" applyFont="1">
      <alignment vertical="center"/>
    </xf>
    <xf borderId="0" fillId="0" fontId="11" numFmtId="0" xfId="0" applyAlignment="1" applyFont="1">
      <alignment horizontal="right" vertical="center"/>
    </xf>
    <xf borderId="66" fillId="0" fontId="12" numFmtId="0" xfId="0" applyAlignment="1" applyBorder="1" applyFont="1">
      <alignment horizontal="center" vertical="center"/>
    </xf>
    <xf borderId="42" fillId="0" fontId="5" numFmtId="0" xfId="0" applyAlignment="1" applyBorder="1" applyFont="1">
      <alignment vertical="center"/>
    </xf>
    <xf borderId="67" fillId="0" fontId="12" numFmtId="164" xfId="0" applyAlignment="1" applyBorder="1" applyFont="1" applyNumberFormat="1">
      <alignment horizontal="center" vertical="center"/>
    </xf>
    <xf borderId="68" fillId="0" fontId="5" numFmtId="0" xfId="0" applyAlignment="1" applyBorder="1" applyFont="1">
      <alignment vertical="center"/>
    </xf>
    <xf borderId="69" fillId="0" fontId="5" numFmtId="0" xfId="0" applyAlignment="1" applyBorder="1" applyFont="1">
      <alignment vertical="center"/>
    </xf>
    <xf borderId="7" fillId="0" fontId="12" numFmtId="0" xfId="0" applyAlignment="1" applyBorder="1" applyFont="1">
      <alignment horizontal="center" vertical="center"/>
    </xf>
    <xf borderId="11" fillId="0" fontId="5" numFmtId="0" xfId="0" applyAlignment="1" applyBorder="1" applyFont="1">
      <alignment vertical="center"/>
    </xf>
    <xf borderId="10" fillId="0" fontId="12" numFmtId="164" xfId="0" applyAlignment="1" applyBorder="1" applyFont="1" applyNumberFormat="1">
      <alignment horizontal="center" vertical="center"/>
    </xf>
    <xf borderId="0" fillId="0" fontId="12" numFmtId="0" xfId="0" applyAlignment="1" applyFont="1">
      <alignment horizontal="center" vertical="center"/>
    </xf>
    <xf borderId="0" fillId="0" fontId="12" numFmtId="164" xfId="0" applyAlignment="1" applyFont="1" applyNumberFormat="1">
      <alignment horizontal="center" vertical="center"/>
    </xf>
    <xf borderId="0" fillId="0" fontId="10" numFmtId="0" xfId="0" applyAlignment="1" applyFont="1">
      <alignment vertical="center"/>
    </xf>
    <xf borderId="15" fillId="2" fontId="4" numFmtId="164" xfId="0" applyAlignment="1" applyBorder="1" applyFill="1" applyFont="1" applyNumberFormat="1">
      <alignment horizontal="center" shrinkToFit="0" vertical="center" wrapText="1"/>
    </xf>
    <xf borderId="70" fillId="0" fontId="2" numFmtId="0" xfId="0" applyAlignment="1" applyBorder="1" applyFont="1">
      <alignment horizontal="center" shrinkToFit="0" vertical="center" wrapText="1"/>
    </xf>
    <xf borderId="60" fillId="0" fontId="5" numFmtId="0" xfId="0" applyAlignment="1" applyBorder="1" applyFont="1">
      <alignment vertical="center"/>
    </xf>
    <xf borderId="71" fillId="0" fontId="2" numFmtId="0" xfId="0" applyAlignment="1" applyBorder="1" applyFont="1">
      <alignment horizontal="center" shrinkToFit="0" vertical="center" wrapText="1"/>
    </xf>
    <xf borderId="60" fillId="0" fontId="2" numFmtId="10" xfId="0" applyAlignment="1" applyBorder="1" applyFont="1" applyNumberFormat="1">
      <alignment horizontal="center" shrinkToFit="0" vertical="center" wrapText="1"/>
    </xf>
    <xf borderId="36" fillId="0" fontId="1" numFmtId="164" xfId="0" applyAlignment="1" applyBorder="1" applyFont="1" applyNumberFormat="1">
      <alignment horizontal="center" vertical="center"/>
    </xf>
    <xf borderId="60" fillId="0" fontId="2" numFmtId="0" xfId="0" applyAlignment="1" applyBorder="1" applyFont="1">
      <alignment horizontal="center" shrinkToFit="0" vertical="center" wrapText="1"/>
    </xf>
    <xf borderId="0" fillId="0" fontId="1" numFmtId="164" xfId="0" applyAlignment="1" applyFont="1" applyNumberForma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5.43"/>
    <col customWidth="1" min="3" max="3" width="22.43"/>
    <col customWidth="1" min="4" max="4" width="16.43"/>
    <col customWidth="1" min="5" max="5" width="11.43"/>
    <col customWidth="1" min="6" max="6" width="12.57"/>
    <col customWidth="1" min="7" max="7" width="8.43"/>
    <col customWidth="1" min="8" max="8" width="13.43"/>
    <col customWidth="1" min="9" max="9" width="9.0"/>
    <col customWidth="1" hidden="1" min="10" max="13" width="8.71"/>
    <col customWidth="1" min="14" max="26" width="8.71"/>
  </cols>
  <sheetData>
    <row r="1" ht="15.75" customHeight="1">
      <c r="A1" s="1"/>
      <c r="B1" s="2" t="s">
        <v>0</v>
      </c>
      <c r="E1" s="3" t="s">
        <v>1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6.5" customHeight="1">
      <c r="A2" s="1"/>
      <c r="B2" s="4" t="s">
        <v>2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6.5" customHeight="1">
      <c r="A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6.5" customHeight="1">
      <c r="A4" s="1"/>
      <c r="B4" s="4"/>
      <c r="C4" s="4"/>
      <c r="D4" s="4"/>
      <c r="E4" s="5"/>
      <c r="F4" s="5"/>
      <c r="G4" s="4"/>
      <c r="H4" s="4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6.5" customHeight="1">
      <c r="A5" s="1"/>
      <c r="B5" s="6" t="s">
        <v>3</v>
      </c>
      <c r="C5" s="7"/>
      <c r="D5" s="8" t="s">
        <v>4</v>
      </c>
      <c r="E5" s="9" t="s">
        <v>5</v>
      </c>
      <c r="F5" s="7"/>
      <c r="G5" s="10"/>
      <c r="H5" s="1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7.25" customHeight="1">
      <c r="A6" s="1"/>
      <c r="B6" s="12" t="s">
        <v>6</v>
      </c>
      <c r="C6" s="13"/>
      <c r="D6" s="14"/>
      <c r="E6" s="15" t="s">
        <v>7</v>
      </c>
      <c r="F6" s="13"/>
      <c r="G6" s="16"/>
      <c r="H6" s="17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7.25" customHeight="1">
      <c r="A7" s="1"/>
      <c r="B7" s="18"/>
      <c r="C7" s="18"/>
      <c r="D7" s="18"/>
      <c r="E7" s="18"/>
      <c r="F7" s="18"/>
      <c r="G7" s="18"/>
      <c r="H7" s="18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8.5" customHeight="1">
      <c r="A8" s="1"/>
      <c r="B8" s="19" t="s">
        <v>8</v>
      </c>
      <c r="C8" s="20"/>
      <c r="D8" s="20"/>
      <c r="E8" s="20"/>
      <c r="F8" s="20"/>
      <c r="G8" s="20"/>
      <c r="H8" s="1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30.0" customHeight="1">
      <c r="A9" s="1"/>
      <c r="B9" s="21" t="s">
        <v>9</v>
      </c>
      <c r="C9" s="22" t="s">
        <v>10</v>
      </c>
      <c r="D9" s="23" t="s">
        <v>11</v>
      </c>
      <c r="E9" s="24" t="s">
        <v>12</v>
      </c>
      <c r="F9" s="25" t="s">
        <v>13</v>
      </c>
      <c r="G9" s="26" t="s">
        <v>14</v>
      </c>
      <c r="H9" s="23" t="s">
        <v>15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7.25" customHeight="1">
      <c r="A10" s="1"/>
      <c r="B10" s="27" t="s">
        <v>16</v>
      </c>
      <c r="C10" s="28" t="s">
        <v>16</v>
      </c>
      <c r="D10" s="29"/>
      <c r="E10" s="30"/>
      <c r="F10" s="31"/>
      <c r="G10" s="32" t="str">
        <f t="shared" ref="G10:G12" si="1">IF(E10=0,"-",F10/E10)</f>
        <v>-</v>
      </c>
      <c r="H10" s="33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7.25" customHeight="1">
      <c r="A11" s="1"/>
      <c r="B11" s="34"/>
      <c r="C11" s="35" t="s">
        <v>17</v>
      </c>
      <c r="D11" s="36"/>
      <c r="E11" s="37"/>
      <c r="F11" s="38"/>
      <c r="G11" s="39" t="str">
        <f t="shared" si="1"/>
        <v>-</v>
      </c>
      <c r="H11" s="40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7.25" customHeight="1">
      <c r="A12" s="1"/>
      <c r="B12" s="34"/>
      <c r="C12" s="41" t="s">
        <v>18</v>
      </c>
      <c r="D12" s="42"/>
      <c r="E12" s="43"/>
      <c r="F12" s="44"/>
      <c r="G12" s="45" t="str">
        <f t="shared" si="1"/>
        <v>-</v>
      </c>
      <c r="H12" s="46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7.25" customHeight="1">
      <c r="A13" s="1"/>
      <c r="B13" s="47"/>
      <c r="C13" s="48" t="s">
        <v>19</v>
      </c>
      <c r="D13" s="49"/>
      <c r="E13" s="50"/>
      <c r="F13" s="51"/>
      <c r="G13" s="51"/>
      <c r="H13" s="49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8.0" customHeight="1">
      <c r="A14" s="1"/>
      <c r="B14" s="52" t="s">
        <v>20</v>
      </c>
      <c r="C14" s="53" t="s">
        <v>17</v>
      </c>
      <c r="D14" s="54"/>
      <c r="E14" s="55"/>
      <c r="F14" s="56"/>
      <c r="G14" s="57" t="str">
        <f t="shared" ref="G14:G28" si="2">IF(E14=0,"-",F14/E14)</f>
        <v>-</v>
      </c>
      <c r="H14" s="58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8.0" customHeight="1">
      <c r="A15" s="1"/>
      <c r="B15" s="34"/>
      <c r="C15" s="59" t="s">
        <v>21</v>
      </c>
      <c r="D15" s="60"/>
      <c r="E15" s="61"/>
      <c r="F15" s="62"/>
      <c r="G15" s="63" t="str">
        <f t="shared" si="2"/>
        <v>-</v>
      </c>
      <c r="H15" s="58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8.0" customHeight="1">
      <c r="A16" s="1"/>
      <c r="B16" s="34"/>
      <c r="C16" s="64" t="s">
        <v>22</v>
      </c>
      <c r="D16" s="65"/>
      <c r="E16" s="61"/>
      <c r="F16" s="62"/>
      <c r="G16" s="63" t="str">
        <f t="shared" si="2"/>
        <v>-</v>
      </c>
      <c r="H16" s="58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8.0" customHeight="1">
      <c r="A17" s="1"/>
      <c r="B17" s="34"/>
      <c r="C17" s="64" t="s">
        <v>23</v>
      </c>
      <c r="D17" s="65"/>
      <c r="E17" s="61"/>
      <c r="F17" s="62"/>
      <c r="G17" s="63" t="str">
        <f t="shared" si="2"/>
        <v>-</v>
      </c>
      <c r="H17" s="58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8.0" customHeight="1">
      <c r="A18" s="1"/>
      <c r="B18" s="34"/>
      <c r="C18" s="64" t="s">
        <v>24</v>
      </c>
      <c r="D18" s="65"/>
      <c r="E18" s="61"/>
      <c r="F18" s="62"/>
      <c r="G18" s="63" t="str">
        <f t="shared" si="2"/>
        <v>-</v>
      </c>
      <c r="H18" s="58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8.0" customHeight="1">
      <c r="A19" s="1"/>
      <c r="B19" s="34"/>
      <c r="C19" s="64" t="s">
        <v>25</v>
      </c>
      <c r="D19" s="65"/>
      <c r="E19" s="61"/>
      <c r="F19" s="62"/>
      <c r="G19" s="63" t="str">
        <f t="shared" si="2"/>
        <v>-</v>
      </c>
      <c r="H19" s="58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8.0" customHeight="1">
      <c r="A20" s="1"/>
      <c r="B20" s="34"/>
      <c r="C20" s="66" t="s">
        <v>26</v>
      </c>
      <c r="D20" s="65" t="s">
        <v>27</v>
      </c>
      <c r="E20" s="61"/>
      <c r="F20" s="62"/>
      <c r="G20" s="63" t="str">
        <f t="shared" si="2"/>
        <v>-</v>
      </c>
      <c r="H20" s="58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8.0" customHeight="1">
      <c r="A21" s="1"/>
      <c r="B21" s="34"/>
      <c r="C21" s="67"/>
      <c r="D21" s="65" t="s">
        <v>28</v>
      </c>
      <c r="E21" s="61"/>
      <c r="F21" s="62"/>
      <c r="G21" s="63" t="str">
        <f t="shared" si="2"/>
        <v>-</v>
      </c>
      <c r="H21" s="58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8.0" customHeight="1">
      <c r="A22" s="1"/>
      <c r="B22" s="34"/>
      <c r="C22" s="64" t="s">
        <v>29</v>
      </c>
      <c r="D22" s="65"/>
      <c r="E22" s="61"/>
      <c r="F22" s="62"/>
      <c r="G22" s="63" t="str">
        <f t="shared" si="2"/>
        <v>-</v>
      </c>
      <c r="H22" s="58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8.0" customHeight="1">
      <c r="A23" s="1"/>
      <c r="B23" s="34"/>
      <c r="C23" s="64" t="s">
        <v>30</v>
      </c>
      <c r="D23" s="65"/>
      <c r="E23" s="61"/>
      <c r="F23" s="62"/>
      <c r="G23" s="63" t="str">
        <f t="shared" si="2"/>
        <v>-</v>
      </c>
      <c r="H23" s="58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8.0" customHeight="1">
      <c r="A24" s="1"/>
      <c r="B24" s="34"/>
      <c r="C24" s="64" t="s">
        <v>31</v>
      </c>
      <c r="D24" s="65"/>
      <c r="E24" s="61"/>
      <c r="F24" s="62"/>
      <c r="G24" s="63" t="str">
        <f t="shared" si="2"/>
        <v>-</v>
      </c>
      <c r="H24" s="58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8.0" customHeight="1">
      <c r="A25" s="1"/>
      <c r="B25" s="34"/>
      <c r="C25" s="64" t="s">
        <v>32</v>
      </c>
      <c r="D25" s="65"/>
      <c r="E25" s="61"/>
      <c r="F25" s="62"/>
      <c r="G25" s="63" t="str">
        <f t="shared" si="2"/>
        <v>-</v>
      </c>
      <c r="H25" s="58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8.0" customHeight="1">
      <c r="A26" s="1"/>
      <c r="B26" s="34"/>
      <c r="C26" s="64" t="s">
        <v>33</v>
      </c>
      <c r="D26" s="65"/>
      <c r="E26" s="61"/>
      <c r="F26" s="62"/>
      <c r="G26" s="63" t="str">
        <f t="shared" si="2"/>
        <v>-</v>
      </c>
      <c r="H26" s="58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7.25" customHeight="1">
      <c r="A27" s="1"/>
      <c r="B27" s="34"/>
      <c r="C27" s="66" t="s">
        <v>34</v>
      </c>
      <c r="D27" s="65" t="s">
        <v>35</v>
      </c>
      <c r="E27" s="68"/>
      <c r="F27" s="69"/>
      <c r="G27" s="70" t="str">
        <f t="shared" si="2"/>
        <v>-</v>
      </c>
      <c r="H27" s="7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7.25" customHeight="1">
      <c r="A28" s="1"/>
      <c r="B28" s="34"/>
      <c r="C28" s="72"/>
      <c r="D28" s="73" t="s">
        <v>36</v>
      </c>
      <c r="E28" s="74"/>
      <c r="F28" s="75"/>
      <c r="G28" s="76" t="str">
        <f t="shared" si="2"/>
        <v>-</v>
      </c>
      <c r="H28" s="77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7.25" customHeight="1">
      <c r="A29" s="1"/>
      <c r="B29" s="47"/>
      <c r="C29" s="78" t="s">
        <v>19</v>
      </c>
      <c r="D29" s="49"/>
      <c r="E29" s="50">
        <f>SUM(F14:F28)</f>
        <v>0</v>
      </c>
      <c r="F29" s="51"/>
      <c r="G29" s="51"/>
      <c r="H29" s="49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1.75" customHeight="1">
      <c r="A30" s="1"/>
      <c r="B30" s="79" t="s">
        <v>37</v>
      </c>
      <c r="C30" s="80"/>
      <c r="D30" s="81"/>
      <c r="E30" s="82">
        <f>SUM(E13,E29)</f>
        <v>0</v>
      </c>
      <c r="F30" s="83"/>
      <c r="G30" s="83"/>
      <c r="H30" s="84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7.25" customHeight="1">
      <c r="A31" s="1"/>
      <c r="B31" s="85"/>
      <c r="C31" s="85"/>
      <c r="D31" s="85"/>
      <c r="E31" s="85"/>
      <c r="F31" s="85"/>
      <c r="G31" s="85"/>
      <c r="H31" s="85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30.0" customHeight="1">
      <c r="A32" s="1"/>
      <c r="B32" s="19" t="s">
        <v>38</v>
      </c>
      <c r="C32" s="20"/>
      <c r="D32" s="20"/>
      <c r="E32" s="20"/>
      <c r="F32" s="20"/>
      <c r="G32" s="20"/>
      <c r="H32" s="1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8.5" customHeight="1">
      <c r="A33" s="1"/>
      <c r="B33" s="21" t="s">
        <v>9</v>
      </c>
      <c r="C33" s="22" t="s">
        <v>10</v>
      </c>
      <c r="D33" s="23" t="s">
        <v>11</v>
      </c>
      <c r="E33" s="86" t="s">
        <v>12</v>
      </c>
      <c r="F33" s="25" t="s">
        <v>39</v>
      </c>
      <c r="G33" s="87" t="s">
        <v>40</v>
      </c>
      <c r="H33" s="88" t="s">
        <v>15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7.25" customHeight="1">
      <c r="A34" s="1"/>
      <c r="B34" s="89" t="s">
        <v>16</v>
      </c>
      <c r="C34" s="90" t="s">
        <v>21</v>
      </c>
      <c r="D34" s="60"/>
      <c r="E34" s="91"/>
      <c r="F34" s="92"/>
      <c r="G34" s="32" t="str">
        <f t="shared" ref="G34:G47" si="3">IF(E34=0,"-",F34/E34)</f>
        <v>-</v>
      </c>
      <c r="H34" s="60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7.25" customHeight="1">
      <c r="A35" s="1"/>
      <c r="B35" s="34"/>
      <c r="C35" s="64" t="s">
        <v>22</v>
      </c>
      <c r="D35" s="65"/>
      <c r="E35" s="93"/>
      <c r="F35" s="94"/>
      <c r="G35" s="32" t="str">
        <f t="shared" si="3"/>
        <v>-</v>
      </c>
      <c r="H35" s="65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7.25" customHeight="1">
      <c r="A36" s="1"/>
      <c r="B36" s="34"/>
      <c r="C36" s="64" t="s">
        <v>23</v>
      </c>
      <c r="D36" s="65"/>
      <c r="E36" s="93"/>
      <c r="F36" s="94"/>
      <c r="G36" s="32" t="str">
        <f t="shared" si="3"/>
        <v>-</v>
      </c>
      <c r="H36" s="65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7.25" customHeight="1">
      <c r="A37" s="1"/>
      <c r="B37" s="34"/>
      <c r="C37" s="64" t="s">
        <v>24</v>
      </c>
      <c r="D37" s="65"/>
      <c r="E37" s="93"/>
      <c r="F37" s="94"/>
      <c r="G37" s="32" t="str">
        <f t="shared" si="3"/>
        <v>-</v>
      </c>
      <c r="H37" s="65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7.25" customHeight="1">
      <c r="A38" s="1"/>
      <c r="B38" s="34"/>
      <c r="C38" s="64" t="s">
        <v>25</v>
      </c>
      <c r="D38" s="65"/>
      <c r="E38" s="93"/>
      <c r="F38" s="94"/>
      <c r="G38" s="32" t="str">
        <f t="shared" si="3"/>
        <v>-</v>
      </c>
      <c r="H38" s="65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7.25" customHeight="1">
      <c r="A39" s="1"/>
      <c r="B39" s="34"/>
      <c r="C39" s="66" t="s">
        <v>26</v>
      </c>
      <c r="D39" s="65" t="s">
        <v>27</v>
      </c>
      <c r="E39" s="93"/>
      <c r="F39" s="94"/>
      <c r="G39" s="32" t="str">
        <f t="shared" si="3"/>
        <v>-</v>
      </c>
      <c r="H39" s="65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7.25" customHeight="1">
      <c r="A40" s="1"/>
      <c r="B40" s="34"/>
      <c r="C40" s="67"/>
      <c r="D40" s="65" t="s">
        <v>28</v>
      </c>
      <c r="E40" s="93"/>
      <c r="F40" s="94"/>
      <c r="G40" s="32" t="str">
        <f t="shared" si="3"/>
        <v>-</v>
      </c>
      <c r="H40" s="65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7.25" customHeight="1">
      <c r="A41" s="1"/>
      <c r="B41" s="34"/>
      <c r="C41" s="64" t="s">
        <v>29</v>
      </c>
      <c r="D41" s="65"/>
      <c r="E41" s="93"/>
      <c r="F41" s="94"/>
      <c r="G41" s="32" t="str">
        <f t="shared" si="3"/>
        <v>-</v>
      </c>
      <c r="H41" s="65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7.25" customHeight="1">
      <c r="A42" s="1"/>
      <c r="B42" s="34"/>
      <c r="C42" s="64" t="s">
        <v>30</v>
      </c>
      <c r="D42" s="65"/>
      <c r="E42" s="93"/>
      <c r="F42" s="94"/>
      <c r="G42" s="32" t="str">
        <f t="shared" si="3"/>
        <v>-</v>
      </c>
      <c r="H42" s="65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8.75" customHeight="1">
      <c r="A43" s="1"/>
      <c r="B43" s="34"/>
      <c r="C43" s="64" t="s">
        <v>31</v>
      </c>
      <c r="D43" s="65"/>
      <c r="E43" s="93"/>
      <c r="F43" s="94"/>
      <c r="G43" s="32" t="str">
        <f t="shared" si="3"/>
        <v>-</v>
      </c>
      <c r="H43" s="65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7.25" customHeight="1">
      <c r="A44" s="1"/>
      <c r="B44" s="34"/>
      <c r="C44" s="64" t="s">
        <v>32</v>
      </c>
      <c r="D44" s="65"/>
      <c r="E44" s="93"/>
      <c r="F44" s="94"/>
      <c r="G44" s="32" t="str">
        <f t="shared" si="3"/>
        <v>-</v>
      </c>
      <c r="H44" s="65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7.25" customHeight="1">
      <c r="A45" s="1"/>
      <c r="B45" s="34"/>
      <c r="C45" s="64" t="s">
        <v>33</v>
      </c>
      <c r="D45" s="65"/>
      <c r="E45" s="93"/>
      <c r="F45" s="94"/>
      <c r="G45" s="32" t="str">
        <f t="shared" si="3"/>
        <v>-</v>
      </c>
      <c r="H45" s="65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7.25" customHeight="1">
      <c r="A46" s="1"/>
      <c r="B46" s="34"/>
      <c r="C46" s="66" t="s">
        <v>34</v>
      </c>
      <c r="D46" s="65" t="s">
        <v>35</v>
      </c>
      <c r="E46" s="93"/>
      <c r="F46" s="94"/>
      <c r="G46" s="32" t="str">
        <f t="shared" si="3"/>
        <v>-</v>
      </c>
      <c r="H46" s="65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7.25" customHeight="1">
      <c r="A47" s="1"/>
      <c r="B47" s="34"/>
      <c r="C47" s="72"/>
      <c r="D47" s="73" t="s">
        <v>36</v>
      </c>
      <c r="E47" s="95"/>
      <c r="F47" s="96"/>
      <c r="G47" s="45" t="str">
        <f t="shared" si="3"/>
        <v>-</v>
      </c>
      <c r="H47" s="73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7.25" customHeight="1">
      <c r="A48" s="1"/>
      <c r="B48" s="47"/>
      <c r="C48" s="97" t="s">
        <v>41</v>
      </c>
      <c r="D48" s="98"/>
      <c r="E48" s="99">
        <f>SUM(F34:F47)</f>
        <v>0</v>
      </c>
      <c r="F48" s="80"/>
      <c r="G48" s="80"/>
      <c r="H48" s="8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6.5" customHeight="1">
      <c r="A49" s="1"/>
      <c r="B49" s="89" t="s">
        <v>20</v>
      </c>
      <c r="C49" s="53" t="s">
        <v>21</v>
      </c>
      <c r="D49" s="54"/>
      <c r="E49" s="91"/>
      <c r="F49" s="100"/>
      <c r="G49" s="32" t="str">
        <f t="shared" ref="G49:G62" si="4">IF(E49=0,"-",F49/E49)</f>
        <v>-</v>
      </c>
      <c r="H49" s="60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7.25" customHeight="1">
      <c r="A50" s="1"/>
      <c r="B50" s="34"/>
      <c r="C50" s="64" t="s">
        <v>22</v>
      </c>
      <c r="D50" s="65"/>
      <c r="E50" s="101"/>
      <c r="F50" s="94"/>
      <c r="G50" s="102" t="str">
        <f t="shared" si="4"/>
        <v>-</v>
      </c>
      <c r="H50" s="65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7.25" customHeight="1">
      <c r="A51" s="1"/>
      <c r="B51" s="34"/>
      <c r="C51" s="64" t="s">
        <v>23</v>
      </c>
      <c r="D51" s="65"/>
      <c r="E51" s="93"/>
      <c r="F51" s="92"/>
      <c r="G51" s="64" t="str">
        <f t="shared" si="4"/>
        <v>-</v>
      </c>
      <c r="H51" s="65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7.25" customHeight="1">
      <c r="A52" s="1"/>
      <c r="B52" s="34"/>
      <c r="C52" s="64" t="s">
        <v>24</v>
      </c>
      <c r="D52" s="65"/>
      <c r="E52" s="93"/>
      <c r="F52" s="94"/>
      <c r="G52" s="64" t="str">
        <f t="shared" si="4"/>
        <v>-</v>
      </c>
      <c r="H52" s="65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7.25" customHeight="1">
      <c r="A53" s="1"/>
      <c r="B53" s="34"/>
      <c r="C53" s="64" t="s">
        <v>25</v>
      </c>
      <c r="D53" s="65"/>
      <c r="E53" s="93"/>
      <c r="F53" s="94"/>
      <c r="G53" s="64" t="str">
        <f t="shared" si="4"/>
        <v>-</v>
      </c>
      <c r="H53" s="65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7.25" customHeight="1">
      <c r="A54" s="1"/>
      <c r="B54" s="34"/>
      <c r="C54" s="66" t="s">
        <v>26</v>
      </c>
      <c r="D54" s="65" t="s">
        <v>27</v>
      </c>
      <c r="E54" s="93"/>
      <c r="F54" s="94"/>
      <c r="G54" s="64" t="str">
        <f t="shared" si="4"/>
        <v>-</v>
      </c>
      <c r="H54" s="65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7.25" customHeight="1">
      <c r="A55" s="1"/>
      <c r="B55" s="34"/>
      <c r="C55" s="67"/>
      <c r="D55" s="65" t="s">
        <v>28</v>
      </c>
      <c r="E55" s="93"/>
      <c r="F55" s="94"/>
      <c r="G55" s="64" t="str">
        <f t="shared" si="4"/>
        <v>-</v>
      </c>
      <c r="H55" s="65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7.25" customHeight="1">
      <c r="A56" s="1"/>
      <c r="B56" s="34"/>
      <c r="C56" s="64" t="s">
        <v>29</v>
      </c>
      <c r="D56" s="65"/>
      <c r="E56" s="93"/>
      <c r="F56" s="94"/>
      <c r="G56" s="64" t="str">
        <f t="shared" si="4"/>
        <v>-</v>
      </c>
      <c r="H56" s="65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7.25" customHeight="1">
      <c r="A57" s="1"/>
      <c r="B57" s="34"/>
      <c r="C57" s="64" t="s">
        <v>30</v>
      </c>
      <c r="D57" s="65"/>
      <c r="E57" s="93"/>
      <c r="F57" s="94"/>
      <c r="G57" s="64" t="str">
        <f t="shared" si="4"/>
        <v>-</v>
      </c>
      <c r="H57" s="65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7.25" customHeight="1">
      <c r="A58" s="1"/>
      <c r="B58" s="34"/>
      <c r="C58" s="64" t="s">
        <v>31</v>
      </c>
      <c r="D58" s="65"/>
      <c r="E58" s="93"/>
      <c r="F58" s="94"/>
      <c r="G58" s="64" t="str">
        <f t="shared" si="4"/>
        <v>-</v>
      </c>
      <c r="H58" s="65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7.25" customHeight="1">
      <c r="A59" s="1"/>
      <c r="B59" s="34"/>
      <c r="C59" s="64" t="s">
        <v>32</v>
      </c>
      <c r="D59" s="65"/>
      <c r="E59" s="93"/>
      <c r="F59" s="94"/>
      <c r="G59" s="64" t="str">
        <f t="shared" si="4"/>
        <v>-</v>
      </c>
      <c r="H59" s="65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7.25" customHeight="1">
      <c r="A60" s="1"/>
      <c r="B60" s="34"/>
      <c r="C60" s="64" t="s">
        <v>33</v>
      </c>
      <c r="D60" s="65"/>
      <c r="E60" s="103"/>
      <c r="F60" s="104"/>
      <c r="G60" s="66" t="str">
        <f t="shared" si="4"/>
        <v>-</v>
      </c>
      <c r="H60" s="105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7.25" customHeight="1">
      <c r="A61" s="1"/>
      <c r="B61" s="34"/>
      <c r="C61" s="66" t="s">
        <v>34</v>
      </c>
      <c r="D61" s="65" t="s">
        <v>35</v>
      </c>
      <c r="E61" s="103"/>
      <c r="F61" s="104"/>
      <c r="G61" s="66" t="str">
        <f t="shared" si="4"/>
        <v>-</v>
      </c>
      <c r="H61" s="105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7.25" customHeight="1">
      <c r="A62" s="1"/>
      <c r="B62" s="34"/>
      <c r="C62" s="72"/>
      <c r="D62" s="73" t="s">
        <v>36</v>
      </c>
      <c r="E62" s="95"/>
      <c r="F62" s="96"/>
      <c r="G62" s="106" t="str">
        <f t="shared" si="4"/>
        <v>-</v>
      </c>
      <c r="H62" s="73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7.25" customHeight="1">
      <c r="A63" s="1"/>
      <c r="B63" s="47"/>
      <c r="C63" s="107" t="s">
        <v>41</v>
      </c>
      <c r="D63" s="49"/>
      <c r="E63" s="108">
        <f>SUM(F49:F62)</f>
        <v>0</v>
      </c>
      <c r="F63" s="51"/>
      <c r="G63" s="51"/>
      <c r="H63" s="49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1.0" customHeight="1">
      <c r="A64" s="1"/>
      <c r="B64" s="109" t="s">
        <v>42</v>
      </c>
      <c r="C64" s="83"/>
      <c r="D64" s="84"/>
      <c r="E64" s="110">
        <f>SUM(E48,E63)</f>
        <v>0</v>
      </c>
      <c r="F64" s="83"/>
      <c r="G64" s="83"/>
      <c r="H64" s="84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6.5" customHeight="1">
      <c r="A65" s="1"/>
      <c r="B65" s="1"/>
      <c r="C65" s="1"/>
      <c r="D65" s="1"/>
      <c r="E65" s="111"/>
      <c r="F65" s="111"/>
      <c r="G65" s="111"/>
      <c r="H65" s="11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7.25" customHeight="1">
      <c r="A66" s="1"/>
      <c r="B66" s="112" t="s">
        <v>17</v>
      </c>
      <c r="C66" s="113"/>
      <c r="D66" s="113"/>
      <c r="E66" s="113"/>
      <c r="F66" s="113"/>
      <c r="G66" s="113"/>
      <c r="H66" s="114"/>
      <c r="I66" s="1"/>
      <c r="J66" s="115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7.25" customHeight="1">
      <c r="A67" s="1"/>
      <c r="B67" s="116" t="s">
        <v>16</v>
      </c>
      <c r="C67" s="29"/>
      <c r="D67" s="117"/>
      <c r="E67" s="118">
        <f>E13-E48</f>
        <v>0</v>
      </c>
      <c r="F67" s="119"/>
      <c r="G67" s="119"/>
      <c r="H67" s="120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7.25" customHeight="1">
      <c r="A68" s="1"/>
      <c r="B68" s="121" t="s">
        <v>20</v>
      </c>
      <c r="C68" s="122"/>
      <c r="D68" s="13"/>
      <c r="E68" s="123">
        <f>E29-E63</f>
        <v>0</v>
      </c>
      <c r="F68" s="122"/>
      <c r="G68" s="122"/>
      <c r="H68" s="17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7.25" customHeight="1">
      <c r="A69" s="1"/>
      <c r="B69" s="124"/>
      <c r="C69" s="124"/>
      <c r="D69" s="124"/>
      <c r="E69" s="125"/>
      <c r="F69" s="125"/>
      <c r="G69" s="125"/>
      <c r="H69" s="125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7.25" customHeight="1">
      <c r="A70" s="1"/>
      <c r="B70" s="124"/>
      <c r="C70" s="124"/>
      <c r="D70" s="124"/>
      <c r="E70" s="125"/>
      <c r="F70" s="125"/>
      <c r="G70" s="125"/>
      <c r="H70" s="125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7.25" customHeight="1">
      <c r="A71" s="1"/>
      <c r="B71" s="124"/>
      <c r="C71" s="124"/>
      <c r="D71" s="124"/>
      <c r="E71" s="125"/>
      <c r="F71" s="125"/>
      <c r="G71" s="125"/>
      <c r="H71" s="125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7.25" customHeight="1">
      <c r="A72" s="1"/>
      <c r="B72" s="112" t="s">
        <v>43</v>
      </c>
      <c r="C72" s="113"/>
      <c r="D72" s="113"/>
      <c r="E72" s="113"/>
      <c r="F72" s="113"/>
      <c r="G72" s="113"/>
      <c r="H72" s="114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7.25" customHeight="1">
      <c r="A73" s="1"/>
      <c r="B73" s="116" t="s">
        <v>44</v>
      </c>
      <c r="C73" s="29"/>
      <c r="D73" s="117"/>
      <c r="E73" s="118">
        <v>6000000.0</v>
      </c>
      <c r="F73" s="119"/>
      <c r="G73" s="119"/>
      <c r="H73" s="120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7.25" customHeight="1">
      <c r="A74" s="1"/>
      <c r="B74" s="121" t="s">
        <v>45</v>
      </c>
      <c r="C74" s="122"/>
      <c r="D74" s="13"/>
      <c r="E74" s="123">
        <v>4000000.0</v>
      </c>
      <c r="F74" s="122"/>
      <c r="G74" s="122"/>
      <c r="H74" s="17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7.25" customHeight="1">
      <c r="A75" s="1"/>
      <c r="B75" s="1"/>
      <c r="C75" s="1"/>
      <c r="D75" s="1"/>
      <c r="E75" s="126"/>
      <c r="F75" s="126"/>
      <c r="G75" s="126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7.25" customHeight="1">
      <c r="A76" s="1"/>
      <c r="B76" s="19" t="s">
        <v>46</v>
      </c>
      <c r="C76" s="20"/>
      <c r="D76" s="20"/>
      <c r="E76" s="20"/>
      <c r="F76" s="20"/>
      <c r="G76" s="20"/>
      <c r="H76" s="1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7.25" customHeight="1">
      <c r="A77" s="1"/>
      <c r="B77" s="21" t="s">
        <v>9</v>
      </c>
      <c r="C77" s="22" t="s">
        <v>47</v>
      </c>
      <c r="D77" s="22" t="s">
        <v>10</v>
      </c>
      <c r="E77" s="127" t="s">
        <v>12</v>
      </c>
      <c r="F77" s="127" t="s">
        <v>39</v>
      </c>
      <c r="G77" s="26" t="s">
        <v>40</v>
      </c>
      <c r="H77" s="23" t="s">
        <v>15</v>
      </c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7.25" customHeight="1">
      <c r="A78" s="1"/>
      <c r="B78" s="89" t="s">
        <v>48</v>
      </c>
      <c r="C78" s="90" t="s">
        <v>44</v>
      </c>
      <c r="D78" s="128" t="s">
        <v>21</v>
      </c>
      <c r="E78" s="91"/>
      <c r="F78" s="92"/>
      <c r="G78" s="32" t="str">
        <f t="shared" ref="G78:G89" si="5">IF(E78=0,"-",F78/E78)</f>
        <v>-</v>
      </c>
      <c r="H78" s="60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7.25" customHeight="1">
      <c r="A79" s="1"/>
      <c r="B79" s="34"/>
      <c r="C79" s="129"/>
      <c r="D79" s="65" t="s">
        <v>22</v>
      </c>
      <c r="E79" s="93"/>
      <c r="F79" s="94"/>
      <c r="G79" s="32" t="str">
        <f t="shared" si="5"/>
        <v>-</v>
      </c>
      <c r="H79" s="65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7.25" customHeight="1">
      <c r="A80" s="1"/>
      <c r="B80" s="34"/>
      <c r="C80" s="129"/>
      <c r="D80" s="65" t="s">
        <v>23</v>
      </c>
      <c r="E80" s="93"/>
      <c r="F80" s="94"/>
      <c r="G80" s="32" t="str">
        <f t="shared" si="5"/>
        <v>-</v>
      </c>
      <c r="H80" s="65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7.25" customHeight="1">
      <c r="A81" s="1"/>
      <c r="B81" s="34"/>
      <c r="C81" s="129"/>
      <c r="D81" s="65" t="s">
        <v>24</v>
      </c>
      <c r="E81" s="93"/>
      <c r="F81" s="94"/>
      <c r="G81" s="32" t="str">
        <f t="shared" si="5"/>
        <v>-</v>
      </c>
      <c r="H81" s="65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7.25" customHeight="1">
      <c r="A82" s="1"/>
      <c r="B82" s="34"/>
      <c r="C82" s="129"/>
      <c r="D82" s="65" t="s">
        <v>25</v>
      </c>
      <c r="E82" s="93"/>
      <c r="F82" s="94"/>
      <c r="G82" s="32" t="str">
        <f t="shared" si="5"/>
        <v>-</v>
      </c>
      <c r="H82" s="65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7.25" customHeight="1">
      <c r="A83" s="1"/>
      <c r="B83" s="34"/>
      <c r="C83" s="129"/>
      <c r="D83" s="105" t="s">
        <v>26</v>
      </c>
      <c r="E83" s="93"/>
      <c r="F83" s="94"/>
      <c r="G83" s="32" t="str">
        <f t="shared" si="5"/>
        <v>-</v>
      </c>
      <c r="H83" s="65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7.25" customHeight="1">
      <c r="A84" s="1"/>
      <c r="B84" s="34"/>
      <c r="C84" s="129"/>
      <c r="D84" s="65" t="s">
        <v>29</v>
      </c>
      <c r="E84" s="93"/>
      <c r="F84" s="94"/>
      <c r="G84" s="32" t="str">
        <f t="shared" si="5"/>
        <v>-</v>
      </c>
      <c r="H84" s="65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7.25" customHeight="1">
      <c r="A85" s="1"/>
      <c r="B85" s="34"/>
      <c r="C85" s="129"/>
      <c r="D85" s="65" t="s">
        <v>30</v>
      </c>
      <c r="E85" s="93"/>
      <c r="F85" s="94"/>
      <c r="G85" s="32" t="str">
        <f t="shared" si="5"/>
        <v>-</v>
      </c>
      <c r="H85" s="65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7.25" customHeight="1">
      <c r="A86" s="1"/>
      <c r="B86" s="34"/>
      <c r="C86" s="129"/>
      <c r="D86" s="65" t="s">
        <v>31</v>
      </c>
      <c r="E86" s="93"/>
      <c r="F86" s="94"/>
      <c r="G86" s="32" t="str">
        <f t="shared" si="5"/>
        <v>-</v>
      </c>
      <c r="H86" s="65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7.25" customHeight="1">
      <c r="A87" s="1"/>
      <c r="B87" s="34"/>
      <c r="C87" s="129"/>
      <c r="D87" s="65" t="s">
        <v>32</v>
      </c>
      <c r="E87" s="93"/>
      <c r="F87" s="94"/>
      <c r="G87" s="32" t="str">
        <f t="shared" si="5"/>
        <v>-</v>
      </c>
      <c r="H87" s="65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7.25" customHeight="1">
      <c r="A88" s="1"/>
      <c r="B88" s="34"/>
      <c r="C88" s="129"/>
      <c r="D88" s="65" t="s">
        <v>33</v>
      </c>
      <c r="E88" s="93"/>
      <c r="F88" s="94"/>
      <c r="G88" s="32" t="str">
        <f t="shared" si="5"/>
        <v>-</v>
      </c>
      <c r="H88" s="65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7.25" customHeight="1">
      <c r="A89" s="1"/>
      <c r="B89" s="34"/>
      <c r="C89" s="129"/>
      <c r="D89" s="130" t="s">
        <v>34</v>
      </c>
      <c r="E89" s="103"/>
      <c r="F89" s="104"/>
      <c r="G89" s="131" t="str">
        <f t="shared" si="5"/>
        <v>-</v>
      </c>
      <c r="H89" s="105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7.25" customHeight="1">
      <c r="A90" s="1"/>
      <c r="B90" s="34"/>
      <c r="C90" s="107" t="s">
        <v>41</v>
      </c>
      <c r="D90" s="49"/>
      <c r="E90" s="132">
        <f>SUM(E78:E89)</f>
        <v>0</v>
      </c>
      <c r="F90" s="51"/>
      <c r="G90" s="51"/>
      <c r="H90" s="49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7.25" customHeight="1">
      <c r="A91" s="1"/>
      <c r="B91" s="34"/>
      <c r="C91" s="133" t="s">
        <v>45</v>
      </c>
      <c r="D91" s="130" t="s">
        <v>21</v>
      </c>
      <c r="E91" s="91"/>
      <c r="F91" s="92"/>
      <c r="G91" s="32" t="str">
        <f t="shared" ref="G91:G102" si="6">IF(E91=0,"-",F91/E91)</f>
        <v>-</v>
      </c>
      <c r="H91" s="60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7.25" customHeight="1">
      <c r="A92" s="1"/>
      <c r="B92" s="34"/>
      <c r="C92" s="129"/>
      <c r="D92" s="65" t="s">
        <v>22</v>
      </c>
      <c r="E92" s="93"/>
      <c r="F92" s="94"/>
      <c r="G92" s="32" t="str">
        <f t="shared" si="6"/>
        <v>-</v>
      </c>
      <c r="H92" s="65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7.25" customHeight="1">
      <c r="A93" s="1"/>
      <c r="B93" s="34"/>
      <c r="C93" s="129"/>
      <c r="D93" s="65" t="s">
        <v>23</v>
      </c>
      <c r="E93" s="93"/>
      <c r="F93" s="94"/>
      <c r="G93" s="32" t="str">
        <f t="shared" si="6"/>
        <v>-</v>
      </c>
      <c r="H93" s="65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7.25" customHeight="1">
      <c r="A94" s="1"/>
      <c r="B94" s="34"/>
      <c r="C94" s="129"/>
      <c r="D94" s="65" t="s">
        <v>24</v>
      </c>
      <c r="E94" s="93"/>
      <c r="F94" s="94"/>
      <c r="G94" s="32" t="str">
        <f t="shared" si="6"/>
        <v>-</v>
      </c>
      <c r="H94" s="65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7.25" customHeight="1">
      <c r="A95" s="1"/>
      <c r="B95" s="34"/>
      <c r="C95" s="129"/>
      <c r="D95" s="65" t="s">
        <v>25</v>
      </c>
      <c r="E95" s="93"/>
      <c r="F95" s="94"/>
      <c r="G95" s="32" t="str">
        <f t="shared" si="6"/>
        <v>-</v>
      </c>
      <c r="H95" s="65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7.25" customHeight="1">
      <c r="A96" s="1"/>
      <c r="B96" s="34"/>
      <c r="C96" s="129"/>
      <c r="D96" s="105" t="s">
        <v>26</v>
      </c>
      <c r="E96" s="93"/>
      <c r="F96" s="94"/>
      <c r="G96" s="32" t="str">
        <f t="shared" si="6"/>
        <v>-</v>
      </c>
      <c r="H96" s="65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7.25" customHeight="1">
      <c r="A97" s="1"/>
      <c r="B97" s="34"/>
      <c r="C97" s="129"/>
      <c r="D97" s="65" t="s">
        <v>29</v>
      </c>
      <c r="E97" s="93"/>
      <c r="F97" s="94"/>
      <c r="G97" s="32" t="str">
        <f t="shared" si="6"/>
        <v>-</v>
      </c>
      <c r="H97" s="65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7.25" customHeight="1">
      <c r="A98" s="1"/>
      <c r="B98" s="34"/>
      <c r="C98" s="129"/>
      <c r="D98" s="65" t="s">
        <v>30</v>
      </c>
      <c r="E98" s="93"/>
      <c r="F98" s="94"/>
      <c r="G98" s="32" t="str">
        <f t="shared" si="6"/>
        <v>-</v>
      </c>
      <c r="H98" s="65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7.25" customHeight="1">
      <c r="A99" s="1"/>
      <c r="B99" s="34"/>
      <c r="C99" s="129"/>
      <c r="D99" s="65" t="s">
        <v>31</v>
      </c>
      <c r="E99" s="93"/>
      <c r="F99" s="94"/>
      <c r="G99" s="32" t="str">
        <f t="shared" si="6"/>
        <v>-</v>
      </c>
      <c r="H99" s="65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7.25" customHeight="1">
      <c r="A100" s="1"/>
      <c r="B100" s="34"/>
      <c r="C100" s="129"/>
      <c r="D100" s="65" t="s">
        <v>32</v>
      </c>
      <c r="E100" s="93"/>
      <c r="F100" s="94"/>
      <c r="G100" s="32" t="str">
        <f t="shared" si="6"/>
        <v>-</v>
      </c>
      <c r="H100" s="65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7.25" customHeight="1">
      <c r="A101" s="1"/>
      <c r="B101" s="34"/>
      <c r="C101" s="129"/>
      <c r="D101" s="65" t="s">
        <v>33</v>
      </c>
      <c r="E101" s="93"/>
      <c r="F101" s="94"/>
      <c r="G101" s="32" t="str">
        <f t="shared" si="6"/>
        <v>-</v>
      </c>
      <c r="H101" s="65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7.25" customHeight="1">
      <c r="A102" s="1"/>
      <c r="B102" s="34"/>
      <c r="C102" s="129"/>
      <c r="D102" s="130" t="s">
        <v>34</v>
      </c>
      <c r="E102" s="103"/>
      <c r="F102" s="104"/>
      <c r="G102" s="131" t="str">
        <f t="shared" si="6"/>
        <v>-</v>
      </c>
      <c r="H102" s="105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7.25" customHeight="1">
      <c r="A103" s="1"/>
      <c r="B103" s="34"/>
      <c r="C103" s="107" t="s">
        <v>41</v>
      </c>
      <c r="D103" s="49"/>
      <c r="E103" s="132">
        <f>SUM(E91:E102)</f>
        <v>0</v>
      </c>
      <c r="F103" s="51"/>
      <c r="G103" s="51"/>
      <c r="H103" s="49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7.25" customHeight="1">
      <c r="A104" s="1"/>
      <c r="B104" s="109" t="s">
        <v>42</v>
      </c>
      <c r="C104" s="83"/>
      <c r="D104" s="84"/>
      <c r="E104" s="82">
        <f>SUM(E90,E103)</f>
        <v>0</v>
      </c>
      <c r="F104" s="83"/>
      <c r="G104" s="83"/>
      <c r="H104" s="84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7.25" customHeight="1">
      <c r="A105" s="1"/>
      <c r="B105" s="1"/>
      <c r="C105" s="1"/>
      <c r="D105" s="1"/>
      <c r="E105" s="134"/>
      <c r="F105" s="134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7.25" customHeight="1">
      <c r="A106" s="1"/>
      <c r="B106" s="112" t="s">
        <v>49</v>
      </c>
      <c r="C106" s="113"/>
      <c r="D106" s="113"/>
      <c r="E106" s="113"/>
      <c r="F106" s="113"/>
      <c r="G106" s="113"/>
      <c r="H106" s="114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7.25" customHeight="1">
      <c r="A107" s="1"/>
      <c r="B107" s="116" t="s">
        <v>44</v>
      </c>
      <c r="C107" s="29"/>
      <c r="D107" s="117"/>
      <c r="E107" s="118">
        <f>E73-E90</f>
        <v>6000000</v>
      </c>
      <c r="F107" s="119"/>
      <c r="G107" s="119"/>
      <c r="H107" s="120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7.25" customHeight="1">
      <c r="A108" s="1"/>
      <c r="B108" s="121" t="s">
        <v>45</v>
      </c>
      <c r="C108" s="122"/>
      <c r="D108" s="13"/>
      <c r="E108" s="123">
        <f>E74-E103</f>
        <v>4000000</v>
      </c>
      <c r="F108" s="122"/>
      <c r="G108" s="122"/>
      <c r="H108" s="17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7.25" customHeight="1">
      <c r="A109" s="1"/>
      <c r="B109" s="1"/>
      <c r="C109" s="1"/>
      <c r="D109" s="1"/>
      <c r="E109" s="134"/>
      <c r="F109" s="134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7.25" customHeight="1">
      <c r="A110" s="1"/>
      <c r="B110" s="1"/>
      <c r="C110" s="1"/>
      <c r="D110" s="1"/>
      <c r="E110" s="134"/>
      <c r="F110" s="134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7.25" customHeight="1">
      <c r="A111" s="1"/>
      <c r="B111" s="1"/>
      <c r="C111" s="1"/>
      <c r="D111" s="1"/>
      <c r="E111" s="134"/>
      <c r="F111" s="134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7.25" customHeight="1">
      <c r="A112" s="1"/>
      <c r="B112" s="1"/>
      <c r="C112" s="1"/>
      <c r="D112" s="1"/>
      <c r="E112" s="134"/>
      <c r="F112" s="134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7.25" customHeight="1">
      <c r="A113" s="1"/>
      <c r="B113" s="1"/>
      <c r="C113" s="1"/>
      <c r="D113" s="1"/>
      <c r="E113" s="134"/>
      <c r="F113" s="134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7.25" customHeight="1">
      <c r="A114" s="1"/>
      <c r="B114" s="1"/>
      <c r="C114" s="1"/>
      <c r="D114" s="1"/>
      <c r="E114" s="134"/>
      <c r="F114" s="134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7.25" customHeight="1">
      <c r="A115" s="1"/>
      <c r="B115" s="1"/>
      <c r="C115" s="1"/>
      <c r="D115" s="1"/>
      <c r="E115" s="134"/>
      <c r="F115" s="134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7.25" customHeight="1">
      <c r="A116" s="1"/>
      <c r="B116" s="1"/>
      <c r="C116" s="1"/>
      <c r="D116" s="1"/>
      <c r="E116" s="134"/>
      <c r="F116" s="134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7.25" customHeight="1">
      <c r="A117" s="1"/>
      <c r="B117" s="1"/>
      <c r="C117" s="1"/>
      <c r="D117" s="1"/>
      <c r="E117" s="134"/>
      <c r="F117" s="134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7.25" customHeight="1">
      <c r="A118" s="1"/>
      <c r="B118" s="1"/>
      <c r="C118" s="1"/>
      <c r="D118" s="1"/>
      <c r="E118" s="134"/>
      <c r="F118" s="134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7.25" customHeight="1">
      <c r="A119" s="1"/>
      <c r="B119" s="1"/>
      <c r="C119" s="1"/>
      <c r="D119" s="1"/>
      <c r="E119" s="134"/>
      <c r="F119" s="134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7.25" customHeight="1">
      <c r="A120" s="1"/>
      <c r="B120" s="1"/>
      <c r="C120" s="1"/>
      <c r="D120" s="1"/>
      <c r="E120" s="134"/>
      <c r="F120" s="134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7.25" customHeight="1">
      <c r="A121" s="1"/>
      <c r="B121" s="1"/>
      <c r="C121" s="1"/>
      <c r="D121" s="1"/>
      <c r="E121" s="134"/>
      <c r="F121" s="134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7.25" customHeight="1">
      <c r="A122" s="1"/>
      <c r="B122" s="1"/>
      <c r="C122" s="1"/>
      <c r="D122" s="1"/>
      <c r="E122" s="134"/>
      <c r="F122" s="134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7.25" customHeight="1">
      <c r="A123" s="1"/>
      <c r="B123" s="1"/>
      <c r="C123" s="1"/>
      <c r="D123" s="1"/>
      <c r="E123" s="134"/>
      <c r="F123" s="134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7.25" customHeight="1">
      <c r="A124" s="1"/>
      <c r="B124" s="1"/>
      <c r="C124" s="1"/>
      <c r="D124" s="1"/>
      <c r="E124" s="134"/>
      <c r="F124" s="134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7.25" customHeight="1">
      <c r="A125" s="1"/>
      <c r="B125" s="1"/>
      <c r="C125" s="1"/>
      <c r="D125" s="1"/>
      <c r="E125" s="134"/>
      <c r="F125" s="134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7.25" customHeight="1">
      <c r="A126" s="1"/>
      <c r="B126" s="1"/>
      <c r="C126" s="1"/>
      <c r="D126" s="1"/>
      <c r="E126" s="134"/>
      <c r="F126" s="134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7.25" customHeight="1">
      <c r="A127" s="1"/>
      <c r="B127" s="1"/>
      <c r="C127" s="1"/>
      <c r="D127" s="1"/>
      <c r="E127" s="134"/>
      <c r="F127" s="134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7.25" customHeight="1">
      <c r="A128" s="1"/>
      <c r="B128" s="1"/>
      <c r="C128" s="1"/>
      <c r="D128" s="1"/>
      <c r="E128" s="134"/>
      <c r="F128" s="134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7.25" customHeight="1">
      <c r="A129" s="1"/>
      <c r="B129" s="1"/>
      <c r="C129" s="1"/>
      <c r="D129" s="1"/>
      <c r="E129" s="134"/>
      <c r="F129" s="134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7.25" customHeight="1">
      <c r="A130" s="1"/>
      <c r="B130" s="1"/>
      <c r="C130" s="1"/>
      <c r="D130" s="1"/>
      <c r="E130" s="134"/>
      <c r="F130" s="134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7.25" customHeight="1">
      <c r="A131" s="1"/>
      <c r="B131" s="1"/>
      <c r="C131" s="1"/>
      <c r="D131" s="1"/>
      <c r="E131" s="134"/>
      <c r="F131" s="134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7.25" customHeight="1">
      <c r="A132" s="1"/>
      <c r="B132" s="1"/>
      <c r="C132" s="1"/>
      <c r="D132" s="1"/>
      <c r="E132" s="134"/>
      <c r="F132" s="134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7.25" customHeight="1">
      <c r="A133" s="1"/>
      <c r="B133" s="1"/>
      <c r="C133" s="1"/>
      <c r="D133" s="1"/>
      <c r="E133" s="134"/>
      <c r="F133" s="134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7.25" customHeight="1">
      <c r="A134" s="1"/>
      <c r="B134" s="1"/>
      <c r="C134" s="1"/>
      <c r="D134" s="1"/>
      <c r="E134" s="134"/>
      <c r="F134" s="134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7.25" customHeight="1">
      <c r="A135" s="1"/>
      <c r="B135" s="1"/>
      <c r="C135" s="1"/>
      <c r="D135" s="1"/>
      <c r="E135" s="134"/>
      <c r="F135" s="134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7.25" customHeight="1">
      <c r="A136" s="1"/>
      <c r="B136" s="1"/>
      <c r="C136" s="1"/>
      <c r="D136" s="1"/>
      <c r="E136" s="134"/>
      <c r="F136" s="134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7.25" customHeight="1">
      <c r="A137" s="1"/>
      <c r="B137" s="1"/>
      <c r="C137" s="1"/>
      <c r="D137" s="1"/>
      <c r="E137" s="134"/>
      <c r="F137" s="134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7.25" customHeight="1">
      <c r="A138" s="1"/>
      <c r="B138" s="1"/>
      <c r="C138" s="1"/>
      <c r="D138" s="1"/>
      <c r="E138" s="134"/>
      <c r="F138" s="134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7.25" customHeight="1">
      <c r="A139" s="1"/>
      <c r="B139" s="1"/>
      <c r="C139" s="1"/>
      <c r="D139" s="1"/>
      <c r="E139" s="134"/>
      <c r="F139" s="134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7.25" customHeight="1">
      <c r="A140" s="1"/>
      <c r="B140" s="1"/>
      <c r="C140" s="1"/>
      <c r="D140" s="1"/>
      <c r="E140" s="134"/>
      <c r="F140" s="134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7.25" customHeight="1">
      <c r="A141" s="1"/>
      <c r="B141" s="1"/>
      <c r="C141" s="1"/>
      <c r="D141" s="1"/>
      <c r="E141" s="134"/>
      <c r="F141" s="134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7.25" customHeight="1">
      <c r="A142" s="1"/>
      <c r="B142" s="1"/>
      <c r="C142" s="1"/>
      <c r="D142" s="1"/>
      <c r="E142" s="134"/>
      <c r="F142" s="134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7.25" customHeight="1">
      <c r="A143" s="1"/>
      <c r="B143" s="1"/>
      <c r="C143" s="1"/>
      <c r="D143" s="1"/>
      <c r="E143" s="134"/>
      <c r="F143" s="134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7.25" customHeight="1">
      <c r="A144" s="1"/>
      <c r="B144" s="1"/>
      <c r="C144" s="1"/>
      <c r="D144" s="1"/>
      <c r="E144" s="134"/>
      <c r="F144" s="134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7.25" customHeight="1">
      <c r="A145" s="1"/>
      <c r="B145" s="1"/>
      <c r="C145" s="1"/>
      <c r="D145" s="1"/>
      <c r="E145" s="134"/>
      <c r="F145" s="134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7.25" customHeight="1">
      <c r="A146" s="1"/>
      <c r="B146" s="1"/>
      <c r="C146" s="1"/>
      <c r="D146" s="1"/>
      <c r="E146" s="134"/>
      <c r="F146" s="134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7.25" customHeight="1">
      <c r="A147" s="1"/>
      <c r="B147" s="1"/>
      <c r="C147" s="1"/>
      <c r="D147" s="1"/>
      <c r="E147" s="134"/>
      <c r="F147" s="134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7.25" customHeight="1">
      <c r="A148" s="1"/>
      <c r="B148" s="1"/>
      <c r="C148" s="1"/>
      <c r="D148" s="1"/>
      <c r="E148" s="134"/>
      <c r="F148" s="134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7.25" customHeight="1">
      <c r="A149" s="1"/>
      <c r="B149" s="1"/>
      <c r="C149" s="1"/>
      <c r="D149" s="1"/>
      <c r="E149" s="134"/>
      <c r="F149" s="134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7.25" customHeight="1">
      <c r="A150" s="1"/>
      <c r="B150" s="1"/>
      <c r="C150" s="1"/>
      <c r="D150" s="1"/>
      <c r="E150" s="134"/>
      <c r="F150" s="134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7.25" customHeight="1">
      <c r="A151" s="1"/>
      <c r="B151" s="1"/>
      <c r="C151" s="1"/>
      <c r="D151" s="1"/>
      <c r="E151" s="134"/>
      <c r="F151" s="134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7.25" customHeight="1">
      <c r="A152" s="1"/>
      <c r="B152" s="1"/>
      <c r="C152" s="1"/>
      <c r="D152" s="1"/>
      <c r="E152" s="134"/>
      <c r="F152" s="134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7.25" customHeight="1">
      <c r="A153" s="1"/>
      <c r="B153" s="1"/>
      <c r="C153" s="1"/>
      <c r="D153" s="1"/>
      <c r="E153" s="134"/>
      <c r="F153" s="134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7.25" customHeight="1">
      <c r="A154" s="1"/>
      <c r="B154" s="1"/>
      <c r="C154" s="1"/>
      <c r="D154" s="1"/>
      <c r="E154" s="134"/>
      <c r="F154" s="134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7.25" customHeight="1">
      <c r="A155" s="1"/>
      <c r="B155" s="1"/>
      <c r="C155" s="1"/>
      <c r="D155" s="1"/>
      <c r="E155" s="134"/>
      <c r="F155" s="134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7.25" customHeight="1">
      <c r="A156" s="1"/>
      <c r="B156" s="1"/>
      <c r="C156" s="1"/>
      <c r="D156" s="1"/>
      <c r="E156" s="134"/>
      <c r="F156" s="134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7.25" customHeight="1">
      <c r="A157" s="1"/>
      <c r="B157" s="1"/>
      <c r="C157" s="1"/>
      <c r="D157" s="1"/>
      <c r="E157" s="134"/>
      <c r="F157" s="134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7.25" customHeight="1">
      <c r="A158" s="1"/>
      <c r="B158" s="1"/>
      <c r="C158" s="1"/>
      <c r="D158" s="1"/>
      <c r="E158" s="134"/>
      <c r="F158" s="134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7.25" customHeight="1">
      <c r="A159" s="1"/>
      <c r="B159" s="1"/>
      <c r="C159" s="1"/>
      <c r="D159" s="1"/>
      <c r="E159" s="134"/>
      <c r="F159" s="134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7.25" customHeight="1">
      <c r="A160" s="1"/>
      <c r="B160" s="1"/>
      <c r="C160" s="1"/>
      <c r="D160" s="1"/>
      <c r="E160" s="134"/>
      <c r="F160" s="134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7.25" customHeight="1">
      <c r="A161" s="1"/>
      <c r="B161" s="1"/>
      <c r="C161" s="1"/>
      <c r="D161" s="1"/>
      <c r="E161" s="134"/>
      <c r="F161" s="134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7.25" customHeight="1">
      <c r="A162" s="1"/>
      <c r="B162" s="1"/>
      <c r="C162" s="1"/>
      <c r="D162" s="1"/>
      <c r="E162" s="134"/>
      <c r="F162" s="134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7.25" customHeight="1">
      <c r="A163" s="1"/>
      <c r="B163" s="1"/>
      <c r="C163" s="1"/>
      <c r="D163" s="1"/>
      <c r="E163" s="134"/>
      <c r="F163" s="134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7.25" customHeight="1">
      <c r="A164" s="1"/>
      <c r="B164" s="1"/>
      <c r="C164" s="1"/>
      <c r="D164" s="1"/>
      <c r="E164" s="134"/>
      <c r="F164" s="134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7.25" customHeight="1">
      <c r="A165" s="1"/>
      <c r="B165" s="1"/>
      <c r="C165" s="1"/>
      <c r="D165" s="1"/>
      <c r="E165" s="134"/>
      <c r="F165" s="134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7.25" customHeight="1">
      <c r="A166" s="1"/>
      <c r="B166" s="1"/>
      <c r="C166" s="1"/>
      <c r="D166" s="1"/>
      <c r="E166" s="134"/>
      <c r="F166" s="134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7.25" customHeight="1">
      <c r="A167" s="1"/>
      <c r="B167" s="1"/>
      <c r="C167" s="1"/>
      <c r="D167" s="1"/>
      <c r="E167" s="134"/>
      <c r="F167" s="134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7.25" customHeight="1">
      <c r="A168" s="1"/>
      <c r="B168" s="1"/>
      <c r="C168" s="1"/>
      <c r="D168" s="1"/>
      <c r="E168" s="134"/>
      <c r="F168" s="134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7.25" customHeight="1">
      <c r="A169" s="1"/>
      <c r="B169" s="1"/>
      <c r="C169" s="1"/>
      <c r="D169" s="1"/>
      <c r="E169" s="134"/>
      <c r="F169" s="134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7.25" customHeight="1">
      <c r="A170" s="1"/>
      <c r="B170" s="1"/>
      <c r="C170" s="1"/>
      <c r="D170" s="1"/>
      <c r="E170" s="134"/>
      <c r="F170" s="134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7.25" customHeight="1">
      <c r="A171" s="1"/>
      <c r="B171" s="1"/>
      <c r="C171" s="1"/>
      <c r="D171" s="1"/>
      <c r="E171" s="134"/>
      <c r="F171" s="134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7.25" customHeight="1">
      <c r="A172" s="1"/>
      <c r="B172" s="1"/>
      <c r="C172" s="1"/>
      <c r="D172" s="1"/>
      <c r="E172" s="134"/>
      <c r="F172" s="134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7.25" customHeight="1">
      <c r="A173" s="1"/>
      <c r="B173" s="1"/>
      <c r="C173" s="1"/>
      <c r="D173" s="1"/>
      <c r="E173" s="134"/>
      <c r="F173" s="134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7.25" customHeight="1">
      <c r="A174" s="1"/>
      <c r="B174" s="1"/>
      <c r="C174" s="1"/>
      <c r="D174" s="1"/>
      <c r="E174" s="134"/>
      <c r="F174" s="134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7.25" customHeight="1">
      <c r="A175" s="1"/>
      <c r="B175" s="1"/>
      <c r="C175" s="1"/>
      <c r="D175" s="1"/>
      <c r="E175" s="134"/>
      <c r="F175" s="134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7.25" customHeight="1">
      <c r="A176" s="1"/>
      <c r="B176" s="1"/>
      <c r="C176" s="1"/>
      <c r="D176" s="1"/>
      <c r="E176" s="134"/>
      <c r="F176" s="134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7.25" customHeight="1">
      <c r="A177" s="1"/>
      <c r="B177" s="1"/>
      <c r="C177" s="1"/>
      <c r="D177" s="1"/>
      <c r="E177" s="134"/>
      <c r="F177" s="134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7.25" customHeight="1">
      <c r="A178" s="1"/>
      <c r="B178" s="1"/>
      <c r="C178" s="1"/>
      <c r="D178" s="1"/>
      <c r="E178" s="134"/>
      <c r="F178" s="134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7.25" customHeight="1">
      <c r="A179" s="1"/>
      <c r="B179" s="1"/>
      <c r="C179" s="1"/>
      <c r="D179" s="1"/>
      <c r="E179" s="134"/>
      <c r="F179" s="134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7.25" customHeight="1">
      <c r="A180" s="1"/>
      <c r="B180" s="1"/>
      <c r="C180" s="1"/>
      <c r="D180" s="1"/>
      <c r="E180" s="134"/>
      <c r="F180" s="134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7.25" customHeight="1">
      <c r="A181" s="1"/>
      <c r="B181" s="1"/>
      <c r="C181" s="1"/>
      <c r="D181" s="1"/>
      <c r="E181" s="134"/>
      <c r="F181" s="134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7.25" customHeight="1">
      <c r="A182" s="1"/>
      <c r="B182" s="1"/>
      <c r="C182" s="1"/>
      <c r="D182" s="1"/>
      <c r="E182" s="134"/>
      <c r="F182" s="134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7.25" customHeight="1">
      <c r="A183" s="1"/>
      <c r="B183" s="1"/>
      <c r="C183" s="1"/>
      <c r="D183" s="1"/>
      <c r="E183" s="134"/>
      <c r="F183" s="134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7.25" customHeight="1">
      <c r="A184" s="1"/>
      <c r="B184" s="1"/>
      <c r="C184" s="1"/>
      <c r="D184" s="1"/>
      <c r="E184" s="134"/>
      <c r="F184" s="134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7.25" customHeight="1">
      <c r="A185" s="1"/>
      <c r="B185" s="1"/>
      <c r="C185" s="1"/>
      <c r="D185" s="1"/>
      <c r="E185" s="134"/>
      <c r="F185" s="134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7.25" customHeight="1">
      <c r="A186" s="1"/>
      <c r="B186" s="1"/>
      <c r="C186" s="1"/>
      <c r="D186" s="1"/>
      <c r="E186" s="134"/>
      <c r="F186" s="134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7.25" customHeight="1">
      <c r="A187" s="1"/>
      <c r="B187" s="1"/>
      <c r="C187" s="1"/>
      <c r="D187" s="1"/>
      <c r="E187" s="134"/>
      <c r="F187" s="134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7.25" customHeight="1">
      <c r="A188" s="1"/>
      <c r="B188" s="1"/>
      <c r="C188" s="1"/>
      <c r="D188" s="1"/>
      <c r="E188" s="134"/>
      <c r="F188" s="134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7.25" customHeight="1">
      <c r="A189" s="1"/>
      <c r="B189" s="1"/>
      <c r="C189" s="1"/>
      <c r="D189" s="1"/>
      <c r="E189" s="134"/>
      <c r="F189" s="134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7.25" customHeight="1">
      <c r="A190" s="1"/>
      <c r="B190" s="1"/>
      <c r="C190" s="1"/>
      <c r="D190" s="1"/>
      <c r="E190" s="134"/>
      <c r="F190" s="134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7.25" customHeight="1">
      <c r="A191" s="1"/>
      <c r="B191" s="1"/>
      <c r="C191" s="1"/>
      <c r="D191" s="1"/>
      <c r="E191" s="134"/>
      <c r="F191" s="134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7.25" customHeight="1">
      <c r="A192" s="1"/>
      <c r="B192" s="1"/>
      <c r="C192" s="1"/>
      <c r="D192" s="1"/>
      <c r="E192" s="134"/>
      <c r="F192" s="134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7.25" customHeight="1">
      <c r="A193" s="1"/>
      <c r="B193" s="1"/>
      <c r="C193" s="1"/>
      <c r="D193" s="1"/>
      <c r="E193" s="134"/>
      <c r="F193" s="134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7.25" customHeight="1">
      <c r="A194" s="1"/>
      <c r="B194" s="1"/>
      <c r="C194" s="1"/>
      <c r="D194" s="1"/>
      <c r="E194" s="134"/>
      <c r="F194" s="134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7.25" customHeight="1">
      <c r="A195" s="1"/>
      <c r="B195" s="1"/>
      <c r="C195" s="1"/>
      <c r="D195" s="1"/>
      <c r="E195" s="134"/>
      <c r="F195" s="134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7.25" customHeight="1">
      <c r="A196" s="1"/>
      <c r="B196" s="1"/>
      <c r="C196" s="1"/>
      <c r="D196" s="1"/>
      <c r="E196" s="134"/>
      <c r="F196" s="134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7.25" customHeight="1">
      <c r="A197" s="1"/>
      <c r="B197" s="1"/>
      <c r="C197" s="1"/>
      <c r="D197" s="1"/>
      <c r="E197" s="134"/>
      <c r="F197" s="134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7.25" customHeight="1">
      <c r="A198" s="1"/>
      <c r="B198" s="1"/>
      <c r="C198" s="1"/>
      <c r="D198" s="1"/>
      <c r="E198" s="134"/>
      <c r="F198" s="134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7.25" customHeight="1">
      <c r="A199" s="1"/>
      <c r="B199" s="1"/>
      <c r="C199" s="1"/>
      <c r="D199" s="1"/>
      <c r="E199" s="134"/>
      <c r="F199" s="134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7.25" customHeight="1">
      <c r="A200" s="1"/>
      <c r="B200" s="1"/>
      <c r="C200" s="1"/>
      <c r="D200" s="1"/>
      <c r="E200" s="134"/>
      <c r="F200" s="134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7.25" customHeight="1">
      <c r="A201" s="1"/>
      <c r="B201" s="1"/>
      <c r="C201" s="1"/>
      <c r="D201" s="1"/>
      <c r="E201" s="134"/>
      <c r="F201" s="134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7.25" customHeight="1">
      <c r="A202" s="1"/>
      <c r="B202" s="1"/>
      <c r="C202" s="1"/>
      <c r="D202" s="1"/>
      <c r="E202" s="134"/>
      <c r="F202" s="134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7.25" customHeight="1">
      <c r="A203" s="1"/>
      <c r="B203" s="1"/>
      <c r="C203" s="1"/>
      <c r="D203" s="1"/>
      <c r="E203" s="134"/>
      <c r="F203" s="134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7.25" customHeight="1">
      <c r="A204" s="1"/>
      <c r="B204" s="1"/>
      <c r="C204" s="1"/>
      <c r="D204" s="1"/>
      <c r="E204" s="134"/>
      <c r="F204" s="134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7.25" customHeight="1">
      <c r="A205" s="1"/>
      <c r="B205" s="1"/>
      <c r="C205" s="1"/>
      <c r="D205" s="1"/>
      <c r="E205" s="134"/>
      <c r="F205" s="134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7.25" customHeight="1">
      <c r="A206" s="1"/>
      <c r="B206" s="1"/>
      <c r="C206" s="1"/>
      <c r="D206" s="1"/>
      <c r="E206" s="134"/>
      <c r="F206" s="134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7.25" customHeight="1">
      <c r="A207" s="1"/>
      <c r="B207" s="1"/>
      <c r="C207" s="1"/>
      <c r="D207" s="1"/>
      <c r="E207" s="134"/>
      <c r="F207" s="134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7.25" customHeight="1">
      <c r="A208" s="1"/>
      <c r="B208" s="1"/>
      <c r="C208" s="1"/>
      <c r="D208" s="1"/>
      <c r="E208" s="134"/>
      <c r="F208" s="134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7.25" customHeight="1">
      <c r="A209" s="1"/>
      <c r="B209" s="1"/>
      <c r="C209" s="1"/>
      <c r="D209" s="1"/>
      <c r="E209" s="134"/>
      <c r="F209" s="134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7.25" customHeight="1">
      <c r="A210" s="1"/>
      <c r="B210" s="1"/>
      <c r="C210" s="1"/>
      <c r="D210" s="1"/>
      <c r="E210" s="134"/>
      <c r="F210" s="134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7.25" customHeight="1">
      <c r="A211" s="1"/>
      <c r="B211" s="1"/>
      <c r="C211" s="1"/>
      <c r="D211" s="1"/>
      <c r="E211" s="134"/>
      <c r="F211" s="134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7.25" customHeight="1">
      <c r="A212" s="1"/>
      <c r="B212" s="1"/>
      <c r="C212" s="1"/>
      <c r="D212" s="1"/>
      <c r="E212" s="134"/>
      <c r="F212" s="134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7.25" customHeight="1">
      <c r="A213" s="1"/>
      <c r="B213" s="1"/>
      <c r="C213" s="1"/>
      <c r="D213" s="1"/>
      <c r="E213" s="134"/>
      <c r="F213" s="134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7.25" customHeight="1">
      <c r="A214" s="1"/>
      <c r="B214" s="1"/>
      <c r="C214" s="1"/>
      <c r="D214" s="1"/>
      <c r="E214" s="134"/>
      <c r="F214" s="134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7.25" customHeight="1">
      <c r="A215" s="1"/>
      <c r="B215" s="1"/>
      <c r="C215" s="1"/>
      <c r="D215" s="1"/>
      <c r="E215" s="134"/>
      <c r="F215" s="134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7.25" customHeight="1">
      <c r="A216" s="1"/>
      <c r="B216" s="1"/>
      <c r="C216" s="1"/>
      <c r="D216" s="1"/>
      <c r="E216" s="134"/>
      <c r="F216" s="134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7.25" customHeight="1">
      <c r="A217" s="1"/>
      <c r="B217" s="1"/>
      <c r="C217" s="1"/>
      <c r="D217" s="1"/>
      <c r="E217" s="134"/>
      <c r="F217" s="134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7.25" customHeight="1">
      <c r="A218" s="1"/>
      <c r="B218" s="1"/>
      <c r="C218" s="1"/>
      <c r="D218" s="1"/>
      <c r="E218" s="134"/>
      <c r="F218" s="134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7.25" customHeight="1">
      <c r="A219" s="1"/>
      <c r="B219" s="1"/>
      <c r="C219" s="1"/>
      <c r="D219" s="1"/>
      <c r="E219" s="134"/>
      <c r="F219" s="134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7.25" customHeight="1">
      <c r="A220" s="1"/>
      <c r="B220" s="1"/>
      <c r="C220" s="1"/>
      <c r="D220" s="1"/>
      <c r="E220" s="134"/>
      <c r="F220" s="134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7.25" customHeight="1">
      <c r="A221" s="1"/>
      <c r="B221" s="1"/>
      <c r="C221" s="1"/>
      <c r="D221" s="1"/>
      <c r="E221" s="134"/>
      <c r="F221" s="134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7.25" customHeight="1">
      <c r="A222" s="1"/>
      <c r="B222" s="1"/>
      <c r="C222" s="1"/>
      <c r="D222" s="1"/>
      <c r="E222" s="134"/>
      <c r="F222" s="134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7.25" customHeight="1">
      <c r="A223" s="1"/>
      <c r="B223" s="1"/>
      <c r="C223" s="1"/>
      <c r="D223" s="1"/>
      <c r="E223" s="134"/>
      <c r="F223" s="134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7.25" customHeight="1">
      <c r="A224" s="1"/>
      <c r="B224" s="1"/>
      <c r="C224" s="1"/>
      <c r="D224" s="1"/>
      <c r="E224" s="134"/>
      <c r="F224" s="134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7.25" customHeight="1">
      <c r="A225" s="1"/>
      <c r="B225" s="1"/>
      <c r="C225" s="1"/>
      <c r="D225" s="1"/>
      <c r="E225" s="134"/>
      <c r="F225" s="134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7.25" customHeight="1">
      <c r="A226" s="1"/>
      <c r="B226" s="1"/>
      <c r="C226" s="1"/>
      <c r="D226" s="1"/>
      <c r="E226" s="134"/>
      <c r="F226" s="134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7.25" customHeight="1">
      <c r="A227" s="1"/>
      <c r="B227" s="1"/>
      <c r="C227" s="1"/>
      <c r="D227" s="1"/>
      <c r="E227" s="134"/>
      <c r="F227" s="134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7.25" customHeight="1">
      <c r="A228" s="1"/>
      <c r="B228" s="1"/>
      <c r="C228" s="1"/>
      <c r="D228" s="1"/>
      <c r="E228" s="134"/>
      <c r="F228" s="134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7.25" customHeight="1">
      <c r="A229" s="1"/>
      <c r="B229" s="1"/>
      <c r="C229" s="1"/>
      <c r="D229" s="1"/>
      <c r="E229" s="134"/>
      <c r="F229" s="134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7.25" customHeight="1">
      <c r="A230" s="1"/>
      <c r="B230" s="1"/>
      <c r="C230" s="1"/>
      <c r="D230" s="1"/>
      <c r="E230" s="134"/>
      <c r="F230" s="134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7.25" customHeight="1">
      <c r="A231" s="1"/>
      <c r="B231" s="1"/>
      <c r="C231" s="1"/>
      <c r="D231" s="1"/>
      <c r="E231" s="134"/>
      <c r="F231" s="134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7.25" customHeight="1">
      <c r="A232" s="1"/>
      <c r="B232" s="1"/>
      <c r="C232" s="1"/>
      <c r="D232" s="1"/>
      <c r="E232" s="134"/>
      <c r="F232" s="134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7.25" customHeight="1">
      <c r="A233" s="1"/>
      <c r="B233" s="1"/>
      <c r="C233" s="1"/>
      <c r="D233" s="1"/>
      <c r="E233" s="134"/>
      <c r="F233" s="134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7.25" customHeight="1">
      <c r="A234" s="1"/>
      <c r="B234" s="1"/>
      <c r="C234" s="1"/>
      <c r="D234" s="1"/>
      <c r="E234" s="134"/>
      <c r="F234" s="134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7.25" customHeight="1">
      <c r="A235" s="1"/>
      <c r="B235" s="1"/>
      <c r="C235" s="1"/>
      <c r="D235" s="1"/>
      <c r="E235" s="134"/>
      <c r="F235" s="134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7.25" customHeight="1">
      <c r="A236" s="1"/>
      <c r="B236" s="1"/>
      <c r="C236" s="1"/>
      <c r="D236" s="1"/>
      <c r="E236" s="134"/>
      <c r="F236" s="134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7.25" customHeight="1">
      <c r="A237" s="1"/>
      <c r="B237" s="1"/>
      <c r="C237" s="1"/>
      <c r="D237" s="1"/>
      <c r="E237" s="134"/>
      <c r="F237" s="134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7.25" customHeight="1">
      <c r="A238" s="1"/>
      <c r="B238" s="1"/>
      <c r="C238" s="1"/>
      <c r="D238" s="1"/>
      <c r="E238" s="134"/>
      <c r="F238" s="134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7.25" customHeight="1">
      <c r="A239" s="1"/>
      <c r="B239" s="1"/>
      <c r="C239" s="1"/>
      <c r="D239" s="1"/>
      <c r="E239" s="134"/>
      <c r="F239" s="134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7.25" customHeight="1">
      <c r="A240" s="1"/>
      <c r="B240" s="1"/>
      <c r="C240" s="1"/>
      <c r="D240" s="1"/>
      <c r="E240" s="134"/>
      <c r="F240" s="134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7.25" customHeight="1">
      <c r="A241" s="1"/>
      <c r="B241" s="1"/>
      <c r="C241" s="1"/>
      <c r="D241" s="1"/>
      <c r="E241" s="134"/>
      <c r="F241" s="134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7.25" customHeight="1">
      <c r="A242" s="1"/>
      <c r="B242" s="1"/>
      <c r="C242" s="1"/>
      <c r="D242" s="1"/>
      <c r="E242" s="134"/>
      <c r="F242" s="134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7.25" customHeight="1">
      <c r="A243" s="1"/>
      <c r="B243" s="1"/>
      <c r="C243" s="1"/>
      <c r="D243" s="1"/>
      <c r="E243" s="134"/>
      <c r="F243" s="134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7.25" customHeight="1">
      <c r="A244" s="1"/>
      <c r="B244" s="1"/>
      <c r="C244" s="1"/>
      <c r="D244" s="1"/>
      <c r="E244" s="134"/>
      <c r="F244" s="134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7.25" customHeight="1">
      <c r="A245" s="1"/>
      <c r="B245" s="1"/>
      <c r="C245" s="1"/>
      <c r="D245" s="1"/>
      <c r="E245" s="134"/>
      <c r="F245" s="134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7.25" customHeight="1">
      <c r="A246" s="1"/>
      <c r="B246" s="1"/>
      <c r="C246" s="1"/>
      <c r="D246" s="1"/>
      <c r="E246" s="134"/>
      <c r="F246" s="134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7.25" customHeight="1">
      <c r="A247" s="1"/>
      <c r="B247" s="1"/>
      <c r="C247" s="1"/>
      <c r="D247" s="1"/>
      <c r="E247" s="134"/>
      <c r="F247" s="134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7.25" customHeight="1">
      <c r="A248" s="1"/>
      <c r="B248" s="1"/>
      <c r="C248" s="1"/>
      <c r="D248" s="1"/>
      <c r="E248" s="134"/>
      <c r="F248" s="134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7.25" customHeight="1">
      <c r="A249" s="1"/>
      <c r="B249" s="1"/>
      <c r="C249" s="1"/>
      <c r="D249" s="1"/>
      <c r="E249" s="134"/>
      <c r="F249" s="134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7.25" customHeight="1">
      <c r="A250" s="1"/>
      <c r="B250" s="1"/>
      <c r="C250" s="1"/>
      <c r="D250" s="1"/>
      <c r="E250" s="134"/>
      <c r="F250" s="134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7.25" customHeight="1">
      <c r="A251" s="1"/>
      <c r="B251" s="1"/>
      <c r="C251" s="1"/>
      <c r="D251" s="1"/>
      <c r="E251" s="134"/>
      <c r="F251" s="134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7.25" customHeight="1">
      <c r="A252" s="1"/>
      <c r="B252" s="1"/>
      <c r="C252" s="1"/>
      <c r="D252" s="1"/>
      <c r="E252" s="134"/>
      <c r="F252" s="134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7.25" customHeight="1">
      <c r="A253" s="1"/>
      <c r="B253" s="1"/>
      <c r="C253" s="1"/>
      <c r="D253" s="1"/>
      <c r="E253" s="134"/>
      <c r="F253" s="134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7.25" customHeight="1">
      <c r="A254" s="1"/>
      <c r="B254" s="1"/>
      <c r="C254" s="1"/>
      <c r="D254" s="1"/>
      <c r="E254" s="134"/>
      <c r="F254" s="134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7.25" customHeight="1">
      <c r="A255" s="1"/>
      <c r="B255" s="1"/>
      <c r="C255" s="1"/>
      <c r="D255" s="1"/>
      <c r="E255" s="134"/>
      <c r="F255" s="134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7.25" customHeight="1">
      <c r="A256" s="1"/>
      <c r="B256" s="1"/>
      <c r="C256" s="1"/>
      <c r="D256" s="1"/>
      <c r="E256" s="134"/>
      <c r="F256" s="134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7.25" customHeight="1">
      <c r="A257" s="1"/>
      <c r="B257" s="1"/>
      <c r="C257" s="1"/>
      <c r="D257" s="1"/>
      <c r="E257" s="134"/>
      <c r="F257" s="134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7.25" customHeight="1">
      <c r="A258" s="1"/>
      <c r="B258" s="1"/>
      <c r="C258" s="1"/>
      <c r="D258" s="1"/>
      <c r="E258" s="134"/>
      <c r="F258" s="134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7.25" customHeight="1">
      <c r="A259" s="1"/>
      <c r="B259" s="1"/>
      <c r="C259" s="1"/>
      <c r="D259" s="1"/>
      <c r="E259" s="134"/>
      <c r="F259" s="134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7.25" customHeight="1">
      <c r="A260" s="1"/>
      <c r="B260" s="1"/>
      <c r="C260" s="1"/>
      <c r="D260" s="1"/>
      <c r="E260" s="134"/>
      <c r="F260" s="134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7.25" customHeight="1">
      <c r="A261" s="1"/>
      <c r="B261" s="1"/>
      <c r="C261" s="1"/>
      <c r="D261" s="1"/>
      <c r="E261" s="134"/>
      <c r="F261" s="134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7.25" customHeight="1">
      <c r="A262" s="1"/>
      <c r="B262" s="1"/>
      <c r="C262" s="1"/>
      <c r="D262" s="1"/>
      <c r="E262" s="134"/>
      <c r="F262" s="134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7.25" customHeight="1">
      <c r="A263" s="1"/>
      <c r="B263" s="1"/>
      <c r="C263" s="1"/>
      <c r="D263" s="1"/>
      <c r="E263" s="134"/>
      <c r="F263" s="134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7.25" customHeight="1">
      <c r="A264" s="1"/>
      <c r="B264" s="1"/>
      <c r="C264" s="1"/>
      <c r="D264" s="1"/>
      <c r="E264" s="134"/>
      <c r="F264" s="134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7.25" customHeight="1">
      <c r="A265" s="1"/>
      <c r="B265" s="1"/>
      <c r="C265" s="1"/>
      <c r="D265" s="1"/>
      <c r="E265" s="134"/>
      <c r="F265" s="134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7.25" customHeight="1">
      <c r="A266" s="1"/>
      <c r="B266" s="1"/>
      <c r="C266" s="1"/>
      <c r="D266" s="1"/>
      <c r="E266" s="134"/>
      <c r="F266" s="134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7.25" customHeight="1">
      <c r="A267" s="1"/>
      <c r="B267" s="1"/>
      <c r="C267" s="1"/>
      <c r="D267" s="1"/>
      <c r="E267" s="134"/>
      <c r="F267" s="134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7.25" customHeight="1">
      <c r="A268" s="1"/>
      <c r="B268" s="1"/>
      <c r="C268" s="1"/>
      <c r="D268" s="1"/>
      <c r="E268" s="134"/>
      <c r="F268" s="134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7.25" customHeight="1">
      <c r="A269" s="1"/>
      <c r="B269" s="1"/>
      <c r="C269" s="1"/>
      <c r="D269" s="1"/>
      <c r="E269" s="134"/>
      <c r="F269" s="134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7.25" customHeight="1">
      <c r="A270" s="1"/>
      <c r="B270" s="1"/>
      <c r="C270" s="1"/>
      <c r="D270" s="1"/>
      <c r="E270" s="134"/>
      <c r="F270" s="134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7.25" customHeight="1">
      <c r="A271" s="1"/>
      <c r="B271" s="1"/>
      <c r="C271" s="1"/>
      <c r="D271" s="1"/>
      <c r="E271" s="134"/>
      <c r="F271" s="134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7.25" customHeight="1">
      <c r="A272" s="1"/>
      <c r="B272" s="1"/>
      <c r="C272" s="1"/>
      <c r="D272" s="1"/>
      <c r="E272" s="134"/>
      <c r="F272" s="134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7.25" customHeight="1">
      <c r="A273" s="1"/>
      <c r="B273" s="1"/>
      <c r="C273" s="1"/>
      <c r="D273" s="1"/>
      <c r="E273" s="134"/>
      <c r="F273" s="134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7.25" customHeight="1">
      <c r="A274" s="1"/>
      <c r="B274" s="1"/>
      <c r="C274" s="1"/>
      <c r="D274" s="1"/>
      <c r="E274" s="134"/>
      <c r="F274" s="134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7.25" customHeight="1">
      <c r="A275" s="1"/>
      <c r="B275" s="1"/>
      <c r="C275" s="1"/>
      <c r="D275" s="1"/>
      <c r="E275" s="134"/>
      <c r="F275" s="134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7.25" customHeight="1">
      <c r="A276" s="1"/>
      <c r="B276" s="1"/>
      <c r="C276" s="1"/>
      <c r="D276" s="1"/>
      <c r="E276" s="134"/>
      <c r="F276" s="134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7.25" customHeight="1">
      <c r="A277" s="1"/>
      <c r="B277" s="1"/>
      <c r="C277" s="1"/>
      <c r="D277" s="1"/>
      <c r="E277" s="134"/>
      <c r="F277" s="134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7.25" customHeight="1">
      <c r="A278" s="1"/>
      <c r="B278" s="1"/>
      <c r="C278" s="1"/>
      <c r="D278" s="1"/>
      <c r="E278" s="134"/>
      <c r="F278" s="134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7.25" customHeight="1">
      <c r="A279" s="1"/>
      <c r="B279" s="1"/>
      <c r="C279" s="1"/>
      <c r="D279" s="1"/>
      <c r="E279" s="134"/>
      <c r="F279" s="134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7.25" customHeight="1">
      <c r="A280" s="1"/>
      <c r="B280" s="1"/>
      <c r="C280" s="1"/>
      <c r="D280" s="1"/>
      <c r="E280" s="134"/>
      <c r="F280" s="134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7.25" customHeight="1">
      <c r="A281" s="1"/>
      <c r="B281" s="1"/>
      <c r="C281" s="1"/>
      <c r="D281" s="1"/>
      <c r="E281" s="134"/>
      <c r="F281" s="134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7.25" customHeight="1">
      <c r="A282" s="1"/>
      <c r="B282" s="1"/>
      <c r="C282" s="1"/>
      <c r="D282" s="1"/>
      <c r="E282" s="134"/>
      <c r="F282" s="134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7.25" customHeight="1">
      <c r="A283" s="1"/>
      <c r="B283" s="1"/>
      <c r="C283" s="1"/>
      <c r="D283" s="1"/>
      <c r="E283" s="134"/>
      <c r="F283" s="134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7.25" customHeight="1">
      <c r="A284" s="1"/>
      <c r="B284" s="1"/>
      <c r="C284" s="1"/>
      <c r="D284" s="1"/>
      <c r="E284" s="134"/>
      <c r="F284" s="134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7.25" customHeight="1">
      <c r="A285" s="1"/>
      <c r="B285" s="1"/>
      <c r="C285" s="1"/>
      <c r="D285" s="1"/>
      <c r="E285" s="134"/>
      <c r="F285" s="134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7.25" customHeight="1">
      <c r="A286" s="1"/>
      <c r="B286" s="1"/>
      <c r="C286" s="1"/>
      <c r="D286" s="1"/>
      <c r="E286" s="134"/>
      <c r="F286" s="134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7.25" customHeight="1">
      <c r="A287" s="1"/>
      <c r="B287" s="1"/>
      <c r="C287" s="1"/>
      <c r="D287" s="1"/>
      <c r="E287" s="134"/>
      <c r="F287" s="134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7.25" customHeight="1">
      <c r="A288" s="1"/>
      <c r="B288" s="1"/>
      <c r="C288" s="1"/>
      <c r="D288" s="1"/>
      <c r="E288" s="134"/>
      <c r="F288" s="134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7.25" customHeight="1">
      <c r="A289" s="1"/>
      <c r="B289" s="1"/>
      <c r="C289" s="1"/>
      <c r="D289" s="1"/>
      <c r="E289" s="134"/>
      <c r="F289" s="134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7.25" customHeight="1">
      <c r="A290" s="1"/>
      <c r="B290" s="1"/>
      <c r="C290" s="1"/>
      <c r="D290" s="1"/>
      <c r="E290" s="134"/>
      <c r="F290" s="134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7.25" customHeight="1">
      <c r="A291" s="1"/>
      <c r="B291" s="1"/>
      <c r="C291" s="1"/>
      <c r="D291" s="1"/>
      <c r="E291" s="134"/>
      <c r="F291" s="134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7.25" customHeight="1">
      <c r="A292" s="1"/>
      <c r="B292" s="1"/>
      <c r="C292" s="1"/>
      <c r="D292" s="1"/>
      <c r="E292" s="134"/>
      <c r="F292" s="134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7.25" customHeight="1">
      <c r="A293" s="1"/>
      <c r="B293" s="1"/>
      <c r="C293" s="1"/>
      <c r="D293" s="1"/>
      <c r="E293" s="134"/>
      <c r="F293" s="134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7.25" customHeight="1">
      <c r="A294" s="1"/>
      <c r="B294" s="1"/>
      <c r="C294" s="1"/>
      <c r="D294" s="1"/>
      <c r="E294" s="134"/>
      <c r="F294" s="134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7.25" customHeight="1">
      <c r="A295" s="1"/>
      <c r="B295" s="1"/>
      <c r="C295" s="1"/>
      <c r="D295" s="1"/>
      <c r="E295" s="134"/>
      <c r="F295" s="134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7.25" customHeight="1">
      <c r="A296" s="1"/>
      <c r="B296" s="1"/>
      <c r="C296" s="1"/>
      <c r="D296" s="1"/>
      <c r="E296" s="134"/>
      <c r="F296" s="134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7.25" customHeight="1">
      <c r="A297" s="1"/>
      <c r="B297" s="1"/>
      <c r="C297" s="1"/>
      <c r="D297" s="1"/>
      <c r="E297" s="134"/>
      <c r="F297" s="134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7.25" customHeight="1">
      <c r="A298" s="1"/>
      <c r="B298" s="1"/>
      <c r="C298" s="1"/>
      <c r="D298" s="1"/>
      <c r="E298" s="134"/>
      <c r="F298" s="134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7.25" customHeight="1">
      <c r="A299" s="1"/>
      <c r="B299" s="1"/>
      <c r="C299" s="1"/>
      <c r="D299" s="1"/>
      <c r="E299" s="134"/>
      <c r="F299" s="134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7.25" customHeight="1">
      <c r="A300" s="1"/>
      <c r="B300" s="1"/>
      <c r="C300" s="1"/>
      <c r="D300" s="1"/>
      <c r="E300" s="134"/>
      <c r="F300" s="134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7.25" customHeight="1">
      <c r="A301" s="1"/>
      <c r="B301" s="1"/>
      <c r="C301" s="1"/>
      <c r="D301" s="1"/>
      <c r="E301" s="134"/>
      <c r="F301" s="134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7.25" customHeight="1">
      <c r="A302" s="1"/>
      <c r="B302" s="1"/>
      <c r="C302" s="1"/>
      <c r="D302" s="1"/>
      <c r="E302" s="134"/>
      <c r="F302" s="134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7.25" customHeight="1">
      <c r="A303" s="1"/>
      <c r="B303" s="1"/>
      <c r="C303" s="1"/>
      <c r="D303" s="1"/>
      <c r="E303" s="134"/>
      <c r="F303" s="134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7.25" customHeight="1">
      <c r="A304" s="1"/>
      <c r="B304" s="1"/>
      <c r="C304" s="1"/>
      <c r="D304" s="1"/>
      <c r="E304" s="134"/>
      <c r="F304" s="134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7.25" customHeight="1">
      <c r="A305" s="1"/>
      <c r="B305" s="1"/>
      <c r="C305" s="1"/>
      <c r="D305" s="1"/>
      <c r="E305" s="134"/>
      <c r="F305" s="134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7.25" customHeight="1">
      <c r="A306" s="1"/>
      <c r="B306" s="1"/>
      <c r="C306" s="1"/>
      <c r="D306" s="1"/>
      <c r="E306" s="134"/>
      <c r="F306" s="134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7.25" customHeight="1">
      <c r="A307" s="1"/>
      <c r="B307" s="1"/>
      <c r="C307" s="1"/>
      <c r="D307" s="1"/>
      <c r="E307" s="134"/>
      <c r="F307" s="134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7.25" customHeight="1">
      <c r="A308" s="1"/>
      <c r="B308" s="1"/>
      <c r="C308" s="1"/>
      <c r="D308" s="1"/>
      <c r="E308" s="134"/>
      <c r="F308" s="134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1">
    <mergeCell ref="B73:D73"/>
    <mergeCell ref="B74:D74"/>
    <mergeCell ref="B78:B103"/>
    <mergeCell ref="C78:C89"/>
    <mergeCell ref="C90:D90"/>
    <mergeCell ref="C91:C102"/>
    <mergeCell ref="C103:D103"/>
    <mergeCell ref="B104:D104"/>
    <mergeCell ref="B66:H66"/>
    <mergeCell ref="B67:D67"/>
    <mergeCell ref="E67:H67"/>
    <mergeCell ref="B68:D68"/>
    <mergeCell ref="E68:H68"/>
    <mergeCell ref="B72:H72"/>
    <mergeCell ref="E73:H73"/>
    <mergeCell ref="B107:D107"/>
    <mergeCell ref="B108:D108"/>
    <mergeCell ref="E74:H74"/>
    <mergeCell ref="B76:H76"/>
    <mergeCell ref="E90:H90"/>
    <mergeCell ref="E103:H103"/>
    <mergeCell ref="E104:H104"/>
    <mergeCell ref="B106:H106"/>
    <mergeCell ref="E107:H107"/>
    <mergeCell ref="E108:H108"/>
    <mergeCell ref="E6:F6"/>
    <mergeCell ref="G6:H6"/>
    <mergeCell ref="E13:H13"/>
    <mergeCell ref="B1:D1"/>
    <mergeCell ref="E1:H1"/>
    <mergeCell ref="B2:H3"/>
    <mergeCell ref="B5:C5"/>
    <mergeCell ref="E5:F5"/>
    <mergeCell ref="G5:H5"/>
    <mergeCell ref="B8:H8"/>
    <mergeCell ref="C20:C21"/>
    <mergeCell ref="C27:C28"/>
    <mergeCell ref="E29:H29"/>
    <mergeCell ref="E30:H30"/>
    <mergeCell ref="C29:D29"/>
    <mergeCell ref="B30:D30"/>
    <mergeCell ref="B32:H32"/>
    <mergeCell ref="B34:B48"/>
    <mergeCell ref="C39:C40"/>
    <mergeCell ref="C46:C47"/>
    <mergeCell ref="C48:D48"/>
    <mergeCell ref="E48:H48"/>
    <mergeCell ref="B6:C6"/>
    <mergeCell ref="B10:B13"/>
    <mergeCell ref="C10:D10"/>
    <mergeCell ref="C11:D11"/>
    <mergeCell ref="C12:D12"/>
    <mergeCell ref="C13:D13"/>
    <mergeCell ref="B14:B29"/>
    <mergeCell ref="B49:B63"/>
    <mergeCell ref="C54:C55"/>
    <mergeCell ref="C61:C62"/>
    <mergeCell ref="C63:D63"/>
    <mergeCell ref="E63:H63"/>
    <mergeCell ref="B64:D64"/>
    <mergeCell ref="E64:H64"/>
  </mergeCells>
  <printOptions/>
  <pageMargins bottom="0.75" footer="0.0" header="0.0" left="0.25" right="0.25" top="0.75"/>
  <pageSetup paperSize="9" orientation="portrait"/>
  <drawing r:id="rId1"/>
</worksheet>
</file>